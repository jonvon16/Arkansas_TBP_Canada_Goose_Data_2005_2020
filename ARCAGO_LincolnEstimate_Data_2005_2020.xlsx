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/Users/johnveon80/Documents/Mallard Research/Canada Goose Work/Journal_Submissions/Ecosphere/R1_Docs/DataAvailable/"/>
    </mc:Choice>
  </mc:AlternateContent>
  <xr:revisionPtr revIDLastSave="0" documentId="13_ncr:1_{E1CBF425-7738-2C4A-B220-29F68CC9FB09}" xr6:coauthVersionLast="47" xr6:coauthVersionMax="47" xr10:uidLastSave="{00000000-0000-0000-0000-000000000000}"/>
  <bookViews>
    <workbookView xWindow="4900" yWindow="1820" windowWidth="26120" windowHeight="15820" activeTab="1" xr2:uid="{00000000-000D-0000-FFFF-FFFF00000000}"/>
  </bookViews>
  <sheets>
    <sheet name="ARCAGO_AHY_Lincoln" sheetId="5" r:id="rId1"/>
    <sheet name="ARCAGO_HY_Lincoln" sheetId="6" r:id="rId2"/>
    <sheet name="LocalGooseCorrectionFactor_NEW" sheetId="10" r:id="rId3"/>
  </sheets>
  <calcPr calcId="191029"/>
  <pivotCaches>
    <pivotCache cacheId="6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K5" i="10"/>
  <c r="V3" i="5"/>
  <c r="L5" i="10"/>
  <c r="K7" i="10"/>
  <c r="K8" i="10"/>
  <c r="M5" i="10" s="1"/>
  <c r="N5" i="10" s="1"/>
  <c r="K9" i="10"/>
  <c r="K10" i="10"/>
  <c r="K11" i="10"/>
  <c r="K12" i="10"/>
  <c r="K13" i="10"/>
  <c r="K14" i="10"/>
  <c r="K15" i="10"/>
  <c r="K16" i="10"/>
  <c r="K17" i="10"/>
  <c r="K18" i="10"/>
  <c r="K19" i="10"/>
  <c r="K20" i="10"/>
  <c r="R3" i="5"/>
  <c r="D3" i="6" l="1"/>
  <c r="P3" i="5" l="1"/>
  <c r="Q3" i="5" s="1"/>
  <c r="S3" i="5" s="1"/>
  <c r="T3" i="5"/>
  <c r="U18" i="6"/>
  <c r="R18" i="6"/>
  <c r="P18" i="6"/>
  <c r="Q18" i="6" s="1"/>
  <c r="H18" i="6"/>
  <c r="D18" i="6"/>
  <c r="J18" i="6" s="1"/>
  <c r="U17" i="6"/>
  <c r="R17" i="6"/>
  <c r="P17" i="6"/>
  <c r="Q17" i="6" s="1"/>
  <c r="H17" i="6"/>
  <c r="D17" i="6"/>
  <c r="E17" i="6" s="1"/>
  <c r="U16" i="6"/>
  <c r="R16" i="6"/>
  <c r="T16" i="6" s="1"/>
  <c r="P16" i="6"/>
  <c r="Q16" i="6" s="1"/>
  <c r="H16" i="6"/>
  <c r="D16" i="6"/>
  <c r="J16" i="6" s="1"/>
  <c r="U15" i="6"/>
  <c r="R15" i="6"/>
  <c r="P15" i="6"/>
  <c r="Q15" i="6" s="1"/>
  <c r="H15" i="6"/>
  <c r="D15" i="6"/>
  <c r="J15" i="6" s="1"/>
  <c r="U14" i="6"/>
  <c r="R14" i="6"/>
  <c r="P14" i="6"/>
  <c r="Q14" i="6" s="1"/>
  <c r="H14" i="6"/>
  <c r="D14" i="6"/>
  <c r="J14" i="6" s="1"/>
  <c r="U13" i="6"/>
  <c r="R13" i="6"/>
  <c r="T13" i="6" s="1"/>
  <c r="P13" i="6"/>
  <c r="Q13" i="6" s="1"/>
  <c r="H13" i="6"/>
  <c r="D13" i="6"/>
  <c r="E13" i="6" s="1"/>
  <c r="U12" i="6"/>
  <c r="R12" i="6"/>
  <c r="P12" i="6"/>
  <c r="Q12" i="6" s="1"/>
  <c r="H12" i="6"/>
  <c r="D12" i="6"/>
  <c r="J12" i="6" s="1"/>
  <c r="U11" i="6"/>
  <c r="R11" i="6"/>
  <c r="T11" i="6" s="1"/>
  <c r="P11" i="6"/>
  <c r="Q11" i="6" s="1"/>
  <c r="H11" i="6"/>
  <c r="D11" i="6"/>
  <c r="J11" i="6" s="1"/>
  <c r="U10" i="6"/>
  <c r="R10" i="6"/>
  <c r="T10" i="6" s="1"/>
  <c r="P10" i="6"/>
  <c r="Q10" i="6" s="1"/>
  <c r="H10" i="6"/>
  <c r="D10" i="6"/>
  <c r="E10" i="6" s="1"/>
  <c r="U9" i="6"/>
  <c r="R9" i="6"/>
  <c r="T9" i="6" s="1"/>
  <c r="P9" i="6"/>
  <c r="Q9" i="6" s="1"/>
  <c r="S9" i="6" s="1"/>
  <c r="V9" i="6" s="1"/>
  <c r="H9" i="6"/>
  <c r="D9" i="6"/>
  <c r="J9" i="6" s="1"/>
  <c r="U8" i="6"/>
  <c r="R8" i="6"/>
  <c r="T8" i="6" s="1"/>
  <c r="P8" i="6"/>
  <c r="Q8" i="6" s="1"/>
  <c r="H8" i="6"/>
  <c r="D8" i="6"/>
  <c r="J8" i="6" s="1"/>
  <c r="U7" i="6"/>
  <c r="R7" i="6"/>
  <c r="T7" i="6" s="1"/>
  <c r="P7" i="6"/>
  <c r="Q7" i="6" s="1"/>
  <c r="H7" i="6"/>
  <c r="D7" i="6"/>
  <c r="E7" i="6" s="1"/>
  <c r="U6" i="6"/>
  <c r="R6" i="6"/>
  <c r="T6" i="6" s="1"/>
  <c r="P6" i="6"/>
  <c r="Q6" i="6" s="1"/>
  <c r="H6" i="6"/>
  <c r="D6" i="6"/>
  <c r="E6" i="6" s="1"/>
  <c r="U5" i="6"/>
  <c r="R5" i="6"/>
  <c r="P5" i="6"/>
  <c r="Q5" i="6" s="1"/>
  <c r="H5" i="6"/>
  <c r="D5" i="6"/>
  <c r="J5" i="6" s="1"/>
  <c r="U4" i="6"/>
  <c r="R4" i="6"/>
  <c r="P4" i="6"/>
  <c r="Q4" i="6" s="1"/>
  <c r="H4" i="6"/>
  <c r="D4" i="6"/>
  <c r="J4" i="6" s="1"/>
  <c r="U3" i="6"/>
  <c r="R3" i="6"/>
  <c r="T3" i="6" s="1"/>
  <c r="P3" i="6"/>
  <c r="Q3" i="6" s="1"/>
  <c r="H3" i="6"/>
  <c r="E3" i="6"/>
  <c r="K6" i="6" l="1"/>
  <c r="L6" i="6" s="1"/>
  <c r="S11" i="6"/>
  <c r="V11" i="6" s="1"/>
  <c r="E16" i="6"/>
  <c r="F16" i="6" s="1"/>
  <c r="J6" i="6"/>
  <c r="S17" i="6"/>
  <c r="V17" i="6" s="1"/>
  <c r="W17" i="6" s="1"/>
  <c r="X17" i="6" s="1"/>
  <c r="Y17" i="6" s="1"/>
  <c r="W9" i="6"/>
  <c r="X9" i="6" s="1"/>
  <c r="Y9" i="6" s="1"/>
  <c r="E8" i="6"/>
  <c r="K8" i="6" s="1"/>
  <c r="L8" i="6" s="1"/>
  <c r="J13" i="6"/>
  <c r="E18" i="6"/>
  <c r="K18" i="6" s="1"/>
  <c r="L18" i="6" s="1"/>
  <c r="J3" i="6"/>
  <c r="J7" i="6"/>
  <c r="J10" i="6"/>
  <c r="J17" i="6"/>
  <c r="K13" i="6"/>
  <c r="L13" i="6" s="1"/>
  <c r="F13" i="6"/>
  <c r="S16" i="6"/>
  <c r="V16" i="6" s="1"/>
  <c r="W16" i="6" s="1"/>
  <c r="X16" i="6" s="1"/>
  <c r="Y16" i="6" s="1"/>
  <c r="F10" i="6"/>
  <c r="K10" i="6"/>
  <c r="L10" i="6" s="1"/>
  <c r="K3" i="6"/>
  <c r="L3" i="6" s="1"/>
  <c r="F3" i="6"/>
  <c r="S6" i="6"/>
  <c r="V6" i="6" s="1"/>
  <c r="W6" i="6" s="1"/>
  <c r="X6" i="6" s="1"/>
  <c r="Y6" i="6" s="1"/>
  <c r="F7" i="6"/>
  <c r="K7" i="6"/>
  <c r="L7" i="6" s="1"/>
  <c r="F17" i="6"/>
  <c r="K17" i="6"/>
  <c r="L17" i="6" s="1"/>
  <c r="S5" i="6"/>
  <c r="V5" i="6" s="1"/>
  <c r="W5" i="6" s="1"/>
  <c r="X5" i="6" s="1"/>
  <c r="Y5" i="6" s="1"/>
  <c r="E12" i="6"/>
  <c r="T12" i="6"/>
  <c r="S15" i="6"/>
  <c r="V15" i="6" s="1"/>
  <c r="W15" i="6" s="1"/>
  <c r="X15" i="6" s="1"/>
  <c r="Y15" i="6" s="1"/>
  <c r="S12" i="6"/>
  <c r="V12" i="6" s="1"/>
  <c r="W12" i="6" s="1"/>
  <c r="X12" i="6" s="1"/>
  <c r="Y12" i="6" s="1"/>
  <c r="E5" i="6"/>
  <c r="T5" i="6"/>
  <c r="S8" i="6"/>
  <c r="V8" i="6" s="1"/>
  <c r="W8" i="6" s="1"/>
  <c r="X8" i="6" s="1"/>
  <c r="Y8" i="6" s="1"/>
  <c r="E15" i="6"/>
  <c r="T15" i="6"/>
  <c r="S18" i="6"/>
  <c r="V18" i="6" s="1"/>
  <c r="W18" i="6" s="1"/>
  <c r="X18" i="6" s="1"/>
  <c r="Y18" i="6" s="1"/>
  <c r="T18" i="6"/>
  <c r="F6" i="6"/>
  <c r="E9" i="6"/>
  <c r="E11" i="6"/>
  <c r="E4" i="6"/>
  <c r="S10" i="6"/>
  <c r="V10" i="6" s="1"/>
  <c r="W10" i="6" s="1"/>
  <c r="X10" i="6" s="1"/>
  <c r="Y10" i="6" s="1"/>
  <c r="T17" i="6"/>
  <c r="S4" i="6"/>
  <c r="V4" i="6" s="1"/>
  <c r="W4" i="6" s="1"/>
  <c r="X4" i="6" s="1"/>
  <c r="Y4" i="6" s="1"/>
  <c r="S14" i="6"/>
  <c r="V14" i="6" s="1"/>
  <c r="W14" i="6" s="1"/>
  <c r="X14" i="6" s="1"/>
  <c r="Y14" i="6" s="1"/>
  <c r="S7" i="6"/>
  <c r="V7" i="6" s="1"/>
  <c r="W7" i="6" s="1"/>
  <c r="X7" i="6" s="1"/>
  <c r="Y7" i="6" s="1"/>
  <c r="W11" i="6"/>
  <c r="X11" i="6" s="1"/>
  <c r="Y11" i="6" s="1"/>
  <c r="S13" i="6"/>
  <c r="V13" i="6" s="1"/>
  <c r="W13" i="6" s="1"/>
  <c r="X13" i="6" s="1"/>
  <c r="Y13" i="6" s="1"/>
  <c r="T4" i="6"/>
  <c r="E14" i="6"/>
  <c r="T14" i="6"/>
  <c r="S3" i="6"/>
  <c r="V3" i="6" s="1"/>
  <c r="W3" i="6" s="1"/>
  <c r="X3" i="6" s="1"/>
  <c r="Y3" i="6" s="1"/>
  <c r="F8" i="6" l="1"/>
  <c r="K16" i="6"/>
  <c r="L16" i="6" s="1"/>
  <c r="F18" i="6"/>
  <c r="F5" i="6"/>
  <c r="K5" i="6"/>
  <c r="L5" i="6" s="1"/>
  <c r="K11" i="6"/>
  <c r="L11" i="6" s="1"/>
  <c r="F11" i="6"/>
  <c r="K9" i="6"/>
  <c r="L9" i="6" s="1"/>
  <c r="F9" i="6"/>
  <c r="K12" i="6"/>
  <c r="L12" i="6" s="1"/>
  <c r="F12" i="6"/>
  <c r="F15" i="6"/>
  <c r="K15" i="6"/>
  <c r="L15" i="6" s="1"/>
  <c r="F14" i="6"/>
  <c r="K14" i="6"/>
  <c r="L14" i="6" s="1"/>
  <c r="F4" i="6"/>
  <c r="K4" i="6"/>
  <c r="L4" i="6" s="1"/>
  <c r="P4" i="5" l="1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5" i="5"/>
  <c r="U3" i="5"/>
  <c r="R18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H3" i="5"/>
  <c r="D3" i="5"/>
  <c r="E3" i="5"/>
  <c r="F3" i="5" s="1"/>
  <c r="K3" i="5" l="1"/>
  <c r="L3" i="5" s="1"/>
  <c r="Q18" i="5" l="1"/>
  <c r="S18" i="5" s="1"/>
  <c r="U18" i="5"/>
  <c r="D18" i="5"/>
  <c r="E18" i="5" s="1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J18" i="5" l="1"/>
  <c r="H18" i="5"/>
  <c r="K18" i="5" s="1"/>
  <c r="L18" i="5" s="1"/>
  <c r="F18" i="5"/>
  <c r="Q17" i="5"/>
  <c r="S17" i="5" s="1"/>
  <c r="Q16" i="5"/>
  <c r="S16" i="5" s="1"/>
  <c r="Q15" i="5"/>
  <c r="S15" i="5" s="1"/>
  <c r="Q14" i="5"/>
  <c r="S14" i="5" s="1"/>
  <c r="Q13" i="5"/>
  <c r="S13" i="5" s="1"/>
  <c r="Q12" i="5"/>
  <c r="S12" i="5" s="1"/>
  <c r="Q11" i="5"/>
  <c r="S11" i="5" s="1"/>
  <c r="Q10" i="5"/>
  <c r="S10" i="5" s="1"/>
  <c r="Q9" i="5"/>
  <c r="S9" i="5" s="1"/>
  <c r="Q8" i="5"/>
  <c r="S8" i="5" s="1"/>
  <c r="Q7" i="5"/>
  <c r="S7" i="5" s="1"/>
  <c r="Q6" i="5"/>
  <c r="S6" i="5" s="1"/>
  <c r="Q5" i="5"/>
  <c r="S5" i="5" s="1"/>
  <c r="Q4" i="5"/>
  <c r="S4" i="5" s="1"/>
  <c r="V15" i="5" l="1"/>
  <c r="V16" i="5"/>
  <c r="V17" i="5"/>
  <c r="V14" i="5"/>
  <c r="V4" i="5"/>
  <c r="V6" i="5"/>
  <c r="V7" i="5"/>
  <c r="V8" i="5"/>
  <c r="V9" i="5"/>
  <c r="V5" i="5"/>
  <c r="V10" i="5"/>
  <c r="V11" i="5"/>
  <c r="V12" i="5"/>
  <c r="V13" i="5"/>
  <c r="T18" i="5"/>
  <c r="V18" i="5"/>
  <c r="W18" i="5" s="1"/>
  <c r="X18" i="5" s="1"/>
  <c r="Y18" i="5" s="1"/>
  <c r="T16" i="5"/>
  <c r="T8" i="5"/>
  <c r="T5" i="5"/>
  <c r="T6" i="5"/>
  <c r="T14" i="5"/>
  <c r="T4" i="5"/>
  <c r="T12" i="5"/>
  <c r="T9" i="5"/>
  <c r="T13" i="5"/>
  <c r="T17" i="5"/>
  <c r="T10" i="5"/>
  <c r="T7" i="5"/>
  <c r="T11" i="5"/>
  <c r="T15" i="5"/>
  <c r="H17" i="5"/>
  <c r="D17" i="5"/>
  <c r="J17" i="5" s="1"/>
  <c r="H16" i="5"/>
  <c r="D16" i="5"/>
  <c r="J16" i="5" s="1"/>
  <c r="H15" i="5"/>
  <c r="D15" i="5"/>
  <c r="E15" i="5" s="1"/>
  <c r="H14" i="5"/>
  <c r="D14" i="5"/>
  <c r="J14" i="5" s="1"/>
  <c r="H13" i="5"/>
  <c r="D13" i="5"/>
  <c r="E13" i="5" s="1"/>
  <c r="H12" i="5"/>
  <c r="D12" i="5"/>
  <c r="J12" i="5" s="1"/>
  <c r="H11" i="5"/>
  <c r="D11" i="5"/>
  <c r="E11" i="5" s="1"/>
  <c r="H10" i="5"/>
  <c r="D10" i="5"/>
  <c r="J10" i="5" s="1"/>
  <c r="H9" i="5"/>
  <c r="D9" i="5"/>
  <c r="J9" i="5" s="1"/>
  <c r="H8" i="5"/>
  <c r="D8" i="5"/>
  <c r="J8" i="5" s="1"/>
  <c r="H7" i="5"/>
  <c r="D7" i="5"/>
  <c r="E7" i="5" s="1"/>
  <c r="H6" i="5"/>
  <c r="D6" i="5"/>
  <c r="J6" i="5" s="1"/>
  <c r="H5" i="5"/>
  <c r="D5" i="5"/>
  <c r="E5" i="5" s="1"/>
  <c r="H4" i="5"/>
  <c r="D4" i="5"/>
  <c r="J4" i="5" s="1"/>
  <c r="W3" i="5" l="1"/>
  <c r="X3" i="5" s="1"/>
  <c r="Y3" i="5" s="1"/>
  <c r="W14" i="5"/>
  <c r="X14" i="5" s="1"/>
  <c r="Y14" i="5" s="1"/>
  <c r="W15" i="5"/>
  <c r="X15" i="5" s="1"/>
  <c r="Y15" i="5" s="1"/>
  <c r="W7" i="5"/>
  <c r="X7" i="5" s="1"/>
  <c r="Y7" i="5" s="1"/>
  <c r="W8" i="5"/>
  <c r="X8" i="5" s="1"/>
  <c r="Y8" i="5" s="1"/>
  <c r="W5" i="5"/>
  <c r="X5" i="5" s="1"/>
  <c r="Y5" i="5" s="1"/>
  <c r="W13" i="5"/>
  <c r="X13" i="5" s="1"/>
  <c r="Y13" i="5" s="1"/>
  <c r="W16" i="5"/>
  <c r="X16" i="5" s="1"/>
  <c r="Y16" i="5" s="1"/>
  <c r="W17" i="5"/>
  <c r="X17" i="5" s="1"/>
  <c r="Y17" i="5" s="1"/>
  <c r="W6" i="5"/>
  <c r="X6" i="5" s="1"/>
  <c r="Y6" i="5" s="1"/>
  <c r="W9" i="5"/>
  <c r="X9" i="5" s="1"/>
  <c r="Y9" i="5" s="1"/>
  <c r="W11" i="5"/>
  <c r="X11" i="5" s="1"/>
  <c r="Y11" i="5" s="1"/>
  <c r="W12" i="5"/>
  <c r="X12" i="5" s="1"/>
  <c r="Y12" i="5" s="1"/>
  <c r="W4" i="5"/>
  <c r="X4" i="5" s="1"/>
  <c r="Y4" i="5" s="1"/>
  <c r="W10" i="5"/>
  <c r="X10" i="5" s="1"/>
  <c r="Y10" i="5" s="1"/>
  <c r="E14" i="5"/>
  <c r="F14" i="5" s="1"/>
  <c r="J5" i="5"/>
  <c r="E4" i="5"/>
  <c r="F4" i="5" s="1"/>
  <c r="J7" i="5"/>
  <c r="E10" i="5"/>
  <c r="K10" i="5" s="1"/>
  <c r="L10" i="5" s="1"/>
  <c r="E12" i="5"/>
  <c r="F12" i="5" s="1"/>
  <c r="J13" i="5"/>
  <c r="E6" i="5"/>
  <c r="F6" i="5" s="1"/>
  <c r="J15" i="5"/>
  <c r="K15" i="5"/>
  <c r="L15" i="5" s="1"/>
  <c r="F15" i="5"/>
  <c r="F5" i="5"/>
  <c r="K5" i="5"/>
  <c r="L5" i="5" s="1"/>
  <c r="K11" i="5"/>
  <c r="L11" i="5" s="1"/>
  <c r="F11" i="5"/>
  <c r="K7" i="5"/>
  <c r="L7" i="5" s="1"/>
  <c r="F7" i="5"/>
  <c r="F13" i="5"/>
  <c r="K13" i="5"/>
  <c r="L13" i="5" s="1"/>
  <c r="E9" i="5"/>
  <c r="E17" i="5"/>
  <c r="J3" i="5"/>
  <c r="E8" i="5"/>
  <c r="J11" i="5"/>
  <c r="E16" i="5"/>
  <c r="K14" i="5" l="1"/>
  <c r="L14" i="5" s="1"/>
  <c r="K12" i="5"/>
  <c r="L12" i="5" s="1"/>
  <c r="K4" i="5"/>
  <c r="L4" i="5" s="1"/>
  <c r="F10" i="5"/>
  <c r="K6" i="5"/>
  <c r="L6" i="5" s="1"/>
  <c r="K16" i="5"/>
  <c r="L16" i="5" s="1"/>
  <c r="F16" i="5"/>
  <c r="K9" i="5"/>
  <c r="L9" i="5" s="1"/>
  <c r="F9" i="5"/>
  <c r="K8" i="5"/>
  <c r="L8" i="5" s="1"/>
  <c r="F8" i="5"/>
  <c r="K17" i="5"/>
  <c r="F17" i="5"/>
  <c r="L17" i="5" l="1"/>
</calcChain>
</file>

<file path=xl/sharedStrings.xml><?xml version="1.0" encoding="utf-8"?>
<sst xmlns="http://schemas.openxmlformats.org/spreadsheetml/2006/main" count="133" uniqueCount="73">
  <si>
    <t>Band year</t>
  </si>
  <si>
    <t>N banded</t>
  </si>
  <si>
    <t>N</t>
  </si>
  <si>
    <t>var (N)</t>
  </si>
  <si>
    <t>SE (N)</t>
  </si>
  <si>
    <t>CL (N)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</si>
  <si>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</si>
  <si>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</si>
  <si>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</si>
  <si>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</si>
  <si>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</si>
  <si>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</si>
  <si>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</si>
  <si>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</si>
  <si>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</si>
  <si>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</si>
  <si>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</si>
  <si>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</si>
  <si>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</si>
  <si>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RED COLUMNS -  are calculated</t>
  </si>
  <si>
    <t>BLACK COLUMNS - add in as data</t>
  </si>
  <si>
    <t>Var rho</t>
  </si>
  <si>
    <t>SE rho</t>
  </si>
  <si>
    <t>Var drr</t>
  </si>
  <si>
    <t>SE drr</t>
  </si>
  <si>
    <t>Reporting rate
rho</t>
  </si>
  <si>
    <t>Direct recovery rate
drr</t>
  </si>
  <si>
    <t>Var (b/r)</t>
  </si>
  <si>
    <t>Var(BH/r)</t>
  </si>
  <si>
    <t>Harvest rate
h</t>
  </si>
  <si>
    <t>N recovered
(direct)</t>
  </si>
  <si>
    <t>Var h</t>
  </si>
  <si>
    <t>SE h</t>
  </si>
  <si>
    <t>Padding &amp; Royle
( H Adjust)</t>
  </si>
  <si>
    <t>LINCOLN ESTIMATOR - WITH BIAS ADJUST</t>
  </si>
  <si>
    <t>Total Harvest  - H
(unadjusted)</t>
  </si>
  <si>
    <t>Total Harvest - SE H
(unadjusted)</t>
  </si>
  <si>
    <t>Total Harvest - CV H
(unadjusted)</t>
  </si>
  <si>
    <t>*Adjusted Total Harvest - adj-H*
(*adjusted - FINAL)</t>
  </si>
  <si>
    <t>*Adjusted Total Harvest - Var adj-H*
(*adjusted - FINAL)</t>
  </si>
  <si>
    <t>Harvest Correction Factor for Bias and AR Breeders</t>
  </si>
  <si>
    <t>Year</t>
  </si>
  <si>
    <t>Arkansas</t>
  </si>
  <si>
    <t>Other</t>
  </si>
  <si>
    <t>2005B</t>
  </si>
  <si>
    <t>2007B</t>
  </si>
  <si>
    <t>2010B</t>
  </si>
  <si>
    <t>2012B</t>
  </si>
  <si>
    <t>2013B</t>
  </si>
  <si>
    <t>2006B</t>
  </si>
  <si>
    <t>2008B</t>
  </si>
  <si>
    <t>2014B</t>
  </si>
  <si>
    <t>2009B</t>
  </si>
  <si>
    <t>2011B</t>
  </si>
  <si>
    <t>2018B</t>
  </si>
  <si>
    <t>2019B</t>
  </si>
  <si>
    <t>2016B</t>
  </si>
  <si>
    <t>2017B</t>
  </si>
  <si>
    <t>2015B</t>
  </si>
  <si>
    <t>2020B</t>
  </si>
  <si>
    <t>Row Labels</t>
  </si>
  <si>
    <t>Grand Total</t>
  </si>
  <si>
    <t>Column Labels</t>
  </si>
  <si>
    <t>Harvested in Arkansas (AHY + L)</t>
  </si>
  <si>
    <t>Harvested in Other State (AHY + L)</t>
  </si>
  <si>
    <t>Total Harvested  (AHY + L)</t>
  </si>
  <si>
    <t>Proportion AR Resident</t>
  </si>
  <si>
    <t>Average Annual AR Resident CAGOS</t>
  </si>
  <si>
    <t>STD_Dev</t>
  </si>
  <si>
    <t>SE</t>
  </si>
  <si>
    <t>(blank)</t>
  </si>
  <si>
    <t>Count of ArkansasOther</t>
  </si>
  <si>
    <t xml:space="preserve"> Arkansas Hatch Year Canada Goose Lincoln Estimates (total harvest and direct recoveries)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</si>
</sst>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000"/>
    <numFmt numFmtId="165" formatCode="0.00000"/>
    <numFmt numFmtId="166" formatCode="0.00000000"/>
    <numFmt numFmtId="167" formatCode="0.000"/>
    <numFmt numFmtId="168" formatCode="0.0000"/>
  </numFmts>
  <fonts count="3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2"/>
      <color theme="1"/>
      <name val="Arial"/>
      <family val="2"/>
    </font>
    <font>
      <sz val="10"/>
      <name val="MS Sans Serif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2"/>
      <color rgb="FF006100"/>
      <name val="Arial"/>
      <family val="2"/>
    </font>
    <font>
      <sz val="12"/>
      <color rgb="FF9C0006"/>
      <name val="Arial"/>
      <family val="2"/>
    </font>
    <font>
      <sz val="12"/>
      <color rgb="FF9C6500"/>
      <name val="Arial"/>
      <family val="2"/>
    </font>
    <font>
      <sz val="12"/>
      <color rgb="FF3F3F76"/>
      <name val="Arial"/>
      <family val="2"/>
    </font>
    <font>
      <b/>
      <sz val="12"/>
      <color rgb="FF3F3F3F"/>
      <name val="Arial"/>
      <family val="2"/>
    </font>
    <font>
      <b/>
      <sz val="12"/>
      <color rgb="FFFA7D00"/>
      <name val="Arial"/>
      <family val="2"/>
    </font>
    <font>
      <sz val="12"/>
      <color rgb="FFFA7D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i/>
      <sz val="12"/>
      <color rgb="FF7F7F7F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Arial"/>
      <family val="2"/>
    </font>
    <font>
      <b/>
      <sz val="14"/>
      <color rgb="FF0070C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0"/>
      <color rgb="FF002060"/>
      <name val="Arial"/>
      <family val="2"/>
    </font>
    <font>
      <b/>
      <u/>
      <sz val="10"/>
      <color rgb="FF0070C0"/>
      <name val="Arial"/>
      <family val="2"/>
    </font>
    <font>
      <sz val="9"/>
      <color rgb="FF000000"/>
      <name val="Lucida Sans"/>
      <family val="2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9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20" fillId="32" borderId="0" applyNumberFormat="0" applyBorder="0" applyAlignment="0" applyProtection="0"/>
    <xf numFmtId="0" fontId="21" fillId="0" borderId="0"/>
    <xf numFmtId="0" fontId="21" fillId="0" borderId="0"/>
    <xf numFmtId="0" fontId="1" fillId="0" borderId="0"/>
  </cellStyleXfs>
  <cellXfs count="69">
    <xf numFmtId="0" fontId="0" fillId="0" borderId="0" xfId="0"/>
    <xf numFmtId="1" fontId="23" fillId="0" borderId="0" xfId="0" applyNumberFormat="1" applyFont="1" applyAlignment="1">
      <alignment horizontal="center"/>
    </xf>
    <xf numFmtId="0" fontId="23" fillId="0" borderId="0" xfId="0" applyFont="1" applyAlignment="1">
      <alignment horizontal="center"/>
    </xf>
    <xf numFmtId="0" fontId="22" fillId="0" borderId="0" xfId="46" applyFont="1" applyAlignment="1">
      <alignment horizontal="center"/>
    </xf>
    <xf numFmtId="164" fontId="22" fillId="0" borderId="0" xfId="46" applyNumberFormat="1" applyFont="1" applyAlignment="1">
      <alignment horizontal="center"/>
    </xf>
    <xf numFmtId="0" fontId="22" fillId="0" borderId="10" xfId="46" applyFont="1" applyBorder="1" applyAlignment="1">
      <alignment horizontal="center"/>
    </xf>
    <xf numFmtId="0" fontId="22" fillId="0" borderId="0" xfId="0" applyFont="1" applyAlignment="1">
      <alignment horizontal="center"/>
    </xf>
    <xf numFmtId="1" fontId="22" fillId="0" borderId="0" xfId="46" applyNumberFormat="1" applyFont="1" applyAlignment="1">
      <alignment horizontal="center"/>
    </xf>
    <xf numFmtId="165" fontId="23" fillId="0" borderId="0" xfId="0" applyNumberFormat="1" applyFont="1" applyAlignment="1">
      <alignment horizontal="center"/>
    </xf>
    <xf numFmtId="165" fontId="22" fillId="0" borderId="0" xfId="46" applyNumberFormat="1" applyFont="1" applyAlignment="1">
      <alignment horizontal="center"/>
    </xf>
    <xf numFmtId="165" fontId="22" fillId="0" borderId="10" xfId="46" applyNumberFormat="1" applyFont="1" applyBorder="1" applyAlignment="1">
      <alignment horizontal="center"/>
    </xf>
    <xf numFmtId="0" fontId="23" fillId="0" borderId="0" xfId="0" applyFont="1" applyAlignment="1">
      <alignment horizontal="left"/>
    </xf>
    <xf numFmtId="1" fontId="22" fillId="0" borderId="0" xfId="46" applyNumberFormat="1" applyFont="1" applyAlignment="1">
      <alignment horizontal="left"/>
    </xf>
    <xf numFmtId="166" fontId="24" fillId="0" borderId="0" xfId="46" applyNumberFormat="1" applyFont="1" applyAlignment="1">
      <alignment horizontal="center"/>
    </xf>
    <xf numFmtId="166" fontId="24" fillId="0" borderId="10" xfId="46" applyNumberFormat="1" applyFont="1" applyBorder="1" applyAlignment="1">
      <alignment horizontal="center"/>
    </xf>
    <xf numFmtId="166" fontId="24" fillId="0" borderId="0" xfId="0" applyNumberFormat="1" applyFont="1" applyAlignment="1">
      <alignment horizontal="center"/>
    </xf>
    <xf numFmtId="0" fontId="24" fillId="0" borderId="0" xfId="46" applyFont="1" applyAlignment="1">
      <alignment horizontal="center"/>
    </xf>
    <xf numFmtId="1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2" fontId="24" fillId="0" borderId="0" xfId="46" applyNumberFormat="1" applyFont="1" applyAlignment="1">
      <alignment horizontal="center"/>
    </xf>
    <xf numFmtId="2" fontId="24" fillId="0" borderId="0" xfId="0" applyNumberFormat="1" applyFont="1" applyAlignment="1">
      <alignment horizontal="center"/>
    </xf>
    <xf numFmtId="165" fontId="24" fillId="0" borderId="0" xfId="46" applyNumberFormat="1" applyFont="1" applyAlignment="1">
      <alignment horizontal="center"/>
    </xf>
    <xf numFmtId="165" fontId="24" fillId="0" borderId="10" xfId="46" applyNumberFormat="1" applyFont="1" applyBorder="1" applyAlignment="1">
      <alignment horizontal="center"/>
    </xf>
    <xf numFmtId="165" fontId="24" fillId="0" borderId="0" xfId="0" applyNumberFormat="1" applyFont="1" applyAlignment="1">
      <alignment horizontal="center"/>
    </xf>
    <xf numFmtId="1" fontId="24" fillId="0" borderId="0" xfId="46" applyNumberFormat="1" applyFont="1" applyAlignment="1">
      <alignment horizontal="left"/>
    </xf>
    <xf numFmtId="1" fontId="25" fillId="0" borderId="0" xfId="46" applyNumberFormat="1" applyFont="1" applyAlignment="1">
      <alignment horizontal="center"/>
    </xf>
    <xf numFmtId="1" fontId="25" fillId="0" borderId="0" xfId="0" applyNumberFormat="1" applyFont="1" applyAlignment="1">
      <alignment horizontal="center"/>
    </xf>
    <xf numFmtId="1" fontId="25" fillId="0" borderId="0" xfId="46" applyNumberFormat="1" applyFont="1" applyAlignment="1">
      <alignment horizontal="center" wrapText="1"/>
    </xf>
    <xf numFmtId="1" fontId="26" fillId="0" borderId="0" xfId="0" applyNumberFormat="1" applyFont="1" applyAlignment="1">
      <alignment horizontal="center"/>
    </xf>
    <xf numFmtId="1" fontId="26" fillId="0" borderId="0" xfId="46" applyNumberFormat="1" applyFont="1" applyAlignment="1">
      <alignment horizontal="center"/>
    </xf>
    <xf numFmtId="2" fontId="22" fillId="0" borderId="0" xfId="46" applyNumberFormat="1" applyFont="1" applyAlignment="1">
      <alignment horizontal="center"/>
    </xf>
    <xf numFmtId="1" fontId="29" fillId="0" borderId="0" xfId="46" applyNumberFormat="1" applyFont="1" applyAlignment="1">
      <alignment horizontal="left"/>
    </xf>
    <xf numFmtId="1" fontId="27" fillId="0" borderId="0" xfId="46" applyNumberFormat="1" applyFont="1"/>
    <xf numFmtId="167" fontId="22" fillId="0" borderId="0" xfId="46" applyNumberFormat="1" applyFont="1" applyAlignment="1">
      <alignment horizontal="center"/>
    </xf>
    <xf numFmtId="167" fontId="24" fillId="0" borderId="0" xfId="0" applyNumberFormat="1" applyFont="1" applyAlignment="1">
      <alignment horizontal="center"/>
    </xf>
    <xf numFmtId="167" fontId="23" fillId="0" borderId="0" xfId="0" applyNumberFormat="1" applyFont="1" applyAlignment="1">
      <alignment horizontal="center"/>
    </xf>
    <xf numFmtId="167" fontId="27" fillId="0" borderId="0" xfId="46" applyNumberFormat="1" applyFont="1"/>
    <xf numFmtId="167" fontId="25" fillId="0" borderId="0" xfId="46" applyNumberFormat="1" applyFont="1" applyAlignment="1">
      <alignment horizontal="center"/>
    </xf>
    <xf numFmtId="167" fontId="25" fillId="0" borderId="0" xfId="46" applyNumberFormat="1" applyFont="1" applyAlignment="1">
      <alignment horizontal="center" wrapText="1"/>
    </xf>
    <xf numFmtId="167" fontId="25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/>
    </xf>
    <xf numFmtId="2" fontId="24" fillId="0" borderId="10" xfId="46" applyNumberFormat="1" applyFont="1" applyBorder="1" applyAlignment="1">
      <alignment horizontal="center" wrapText="1"/>
    </xf>
    <xf numFmtId="0" fontId="24" fillId="0" borderId="10" xfId="46" applyFont="1" applyBorder="1" applyAlignment="1">
      <alignment horizontal="center" wrapText="1"/>
    </xf>
    <xf numFmtId="165" fontId="22" fillId="0" borderId="10" xfId="46" applyNumberFormat="1" applyFont="1" applyBorder="1" applyAlignment="1">
      <alignment horizontal="center" wrapText="1"/>
    </xf>
    <xf numFmtId="166" fontId="24" fillId="0" borderId="10" xfId="46" applyNumberFormat="1" applyFont="1" applyBorder="1" applyAlignment="1">
      <alignment horizontal="center" wrapText="1"/>
    </xf>
    <xf numFmtId="165" fontId="24" fillId="0" borderId="10" xfId="46" applyNumberFormat="1" applyFont="1" applyBorder="1" applyAlignment="1">
      <alignment horizontal="center" wrapText="1"/>
    </xf>
    <xf numFmtId="3" fontId="24" fillId="0" borderId="11" xfId="46" applyNumberFormat="1" applyFont="1" applyBorder="1" applyAlignment="1">
      <alignment horizontal="center"/>
    </xf>
    <xf numFmtId="3" fontId="24" fillId="0" borderId="0" xfId="0" applyNumberFormat="1" applyFont="1" applyAlignment="1">
      <alignment horizontal="center"/>
    </xf>
    <xf numFmtId="1" fontId="25" fillId="0" borderId="0" xfId="0" applyNumberFormat="1" applyFont="1" applyAlignment="1">
      <alignment horizontal="left"/>
    </xf>
    <xf numFmtId="0" fontId="22" fillId="0" borderId="10" xfId="46" applyFont="1" applyBorder="1" applyAlignment="1">
      <alignment horizontal="center" wrapText="1"/>
    </xf>
    <xf numFmtId="0" fontId="28" fillId="0" borderId="0" xfId="46" applyFont="1" applyAlignment="1">
      <alignment horizontal="left" vertical="center"/>
    </xf>
    <xf numFmtId="168" fontId="23" fillId="0" borderId="0" xfId="0" applyNumberFormat="1" applyFont="1" applyAlignment="1">
      <alignment horizontal="center"/>
    </xf>
    <xf numFmtId="166" fontId="27" fillId="0" borderId="0" xfId="46" applyNumberFormat="1" applyFont="1"/>
    <xf numFmtId="168" fontId="25" fillId="0" borderId="0" xfId="46" applyNumberFormat="1" applyFont="1" applyAlignment="1">
      <alignment horizontal="center"/>
    </xf>
    <xf numFmtId="1" fontId="0" fillId="0" borderId="0" xfId="0" applyNumberFormat="1" applyAlignment="1">
      <alignment horizontal="left"/>
    </xf>
    <xf numFmtId="167" fontId="22" fillId="0" borderId="0" xfId="0" applyNumberFormat="1" applyFont="1" applyAlignment="1">
      <alignment horizontal="center"/>
    </xf>
    <xf numFmtId="0" fontId="30" fillId="0" borderId="10" xfId="46" applyFont="1" applyBorder="1" applyAlignment="1">
      <alignment horizontal="center" wrapText="1"/>
    </xf>
    <xf numFmtId="1" fontId="31" fillId="0" borderId="0" xfId="0" applyNumberFormat="1" applyFont="1" applyAlignment="1">
      <alignment horizontal="center"/>
    </xf>
    <xf numFmtId="1" fontId="31" fillId="0" borderId="0" xfId="0" applyNumberFormat="1" applyFont="1" applyAlignment="1">
      <alignment horizontal="left"/>
    </xf>
    <xf numFmtId="0" fontId="1" fillId="0" borderId="0" xfId="48"/>
    <xf numFmtId="0" fontId="1" fillId="0" borderId="0" xfId="48" applyAlignment="1">
      <alignment horizontal="left"/>
    </xf>
    <xf numFmtId="0" fontId="33" fillId="0" borderId="0" xfId="48" applyFont="1"/>
    <xf numFmtId="3" fontId="23" fillId="0" borderId="0" xfId="0" applyNumberFormat="1" applyFont="1" applyAlignment="1">
      <alignment horizontal="center"/>
    </xf>
    <xf numFmtId="0" fontId="28" fillId="0" borderId="0" xfId="0" applyFont="1" applyAlignment="1">
      <alignment horizontal="left" vertical="center"/>
    </xf>
    <xf numFmtId="165" fontId="23" fillId="0" borderId="0" xfId="46" applyNumberFormat="1" applyFont="1" applyAlignment="1">
      <alignment horizontal="left"/>
    </xf>
    <xf numFmtId="0" fontId="32" fillId="0" borderId="0" xfId="0" applyFont="1"/>
    <xf numFmtId="0" fontId="34" fillId="0" borderId="0" xfId="0" applyFont="1"/>
    <xf numFmtId="3" fontId="24" fillId="0" borderId="0" xfId="46" applyNumberFormat="1" applyFont="1" applyAlignment="1">
      <alignment horizontal="left"/>
    </xf>
    <xf numFmtId="0" fontId="34" fillId="0" borderId="0" xfId="0" applyFont="1" applyAlignment="1">
      <alignment horizontal="center"/>
    </xf>
  </cellXfs>
  <cellStyles count="49">
    <cellStyle name="20% - Accent1 2" xfId="23" xr:uid="{00000000-0005-0000-0000-000000000000}"/>
    <cellStyle name="20% - Accent2 2" xfId="27" xr:uid="{00000000-0005-0000-0000-000001000000}"/>
    <cellStyle name="20% - Accent3 2" xfId="31" xr:uid="{00000000-0005-0000-0000-000002000000}"/>
    <cellStyle name="20% - Accent4 2" xfId="35" xr:uid="{00000000-0005-0000-0000-000003000000}"/>
    <cellStyle name="20% - Accent5 2" xfId="39" xr:uid="{00000000-0005-0000-0000-000004000000}"/>
    <cellStyle name="20% - Accent6 2" xfId="43" xr:uid="{00000000-0005-0000-0000-000005000000}"/>
    <cellStyle name="40% - Accent1 2" xfId="24" xr:uid="{00000000-0005-0000-0000-000006000000}"/>
    <cellStyle name="40% - Accent2 2" xfId="28" xr:uid="{00000000-0005-0000-0000-000007000000}"/>
    <cellStyle name="40% - Accent3 2" xfId="32" xr:uid="{00000000-0005-0000-0000-000008000000}"/>
    <cellStyle name="40% - Accent4 2" xfId="36" xr:uid="{00000000-0005-0000-0000-000009000000}"/>
    <cellStyle name="40% - Accent5 2" xfId="40" xr:uid="{00000000-0005-0000-0000-00000A000000}"/>
    <cellStyle name="40% - Accent6 2" xfId="44" xr:uid="{00000000-0005-0000-0000-00000B000000}"/>
    <cellStyle name="60% - Accent1 2" xfId="25" xr:uid="{00000000-0005-0000-0000-00000C000000}"/>
    <cellStyle name="60% - Accent2 2" xfId="29" xr:uid="{00000000-0005-0000-0000-00000D000000}"/>
    <cellStyle name="60% - Accent3 2" xfId="33" xr:uid="{00000000-0005-0000-0000-00000E000000}"/>
    <cellStyle name="60% - Accent4 2" xfId="37" xr:uid="{00000000-0005-0000-0000-00000F000000}"/>
    <cellStyle name="60% - Accent5 2" xfId="41" xr:uid="{00000000-0005-0000-0000-000010000000}"/>
    <cellStyle name="60% - Accent6 2" xfId="45" xr:uid="{00000000-0005-0000-0000-000011000000}"/>
    <cellStyle name="Accent1 2" xfId="22" xr:uid="{00000000-0005-0000-0000-000012000000}"/>
    <cellStyle name="Accent2 2" xfId="26" xr:uid="{00000000-0005-0000-0000-000013000000}"/>
    <cellStyle name="Accent3 2" xfId="30" xr:uid="{00000000-0005-0000-0000-000014000000}"/>
    <cellStyle name="Accent4 2" xfId="34" xr:uid="{00000000-0005-0000-0000-000015000000}"/>
    <cellStyle name="Accent5 2" xfId="38" xr:uid="{00000000-0005-0000-0000-000016000000}"/>
    <cellStyle name="Accent6 2" xfId="42" xr:uid="{00000000-0005-0000-0000-000017000000}"/>
    <cellStyle name="Bad 2" xfId="11" xr:uid="{00000000-0005-0000-0000-000018000000}"/>
    <cellStyle name="Calculation 2" xfId="15" xr:uid="{00000000-0005-0000-0000-000019000000}"/>
    <cellStyle name="Check Cell 2" xfId="17" xr:uid="{00000000-0005-0000-0000-00001A000000}"/>
    <cellStyle name="Comma 2" xfId="3" xr:uid="{00000000-0005-0000-0000-00001B000000}"/>
    <cellStyle name="Comma 3" xfId="4" xr:uid="{00000000-0005-0000-0000-00001C000000}"/>
    <cellStyle name="Explanatory Text 2" xfId="20" xr:uid="{00000000-0005-0000-0000-00001D000000}"/>
    <cellStyle name="Good 2" xfId="10" xr:uid="{00000000-0005-0000-0000-00001E000000}"/>
    <cellStyle name="Heading 1 2" xfId="6" xr:uid="{00000000-0005-0000-0000-00001F000000}"/>
    <cellStyle name="Heading 2 2" xfId="7" xr:uid="{00000000-0005-0000-0000-000020000000}"/>
    <cellStyle name="Heading 3 2" xfId="8" xr:uid="{00000000-0005-0000-0000-000021000000}"/>
    <cellStyle name="Heading 4 2" xfId="9" xr:uid="{00000000-0005-0000-0000-000022000000}"/>
    <cellStyle name="Input 2" xfId="13" xr:uid="{00000000-0005-0000-0000-000023000000}"/>
    <cellStyle name="Linked Cell 2" xfId="16" xr:uid="{00000000-0005-0000-0000-000024000000}"/>
    <cellStyle name="Neutral 2" xfId="12" xr:uid="{00000000-0005-0000-0000-000025000000}"/>
    <cellStyle name="Normal" xfId="0" builtinId="0"/>
    <cellStyle name="Normal 2" xfId="2" xr:uid="{00000000-0005-0000-0000-000027000000}"/>
    <cellStyle name="Normal 2 2" xfId="47" xr:uid="{00000000-0005-0000-0000-000028000000}"/>
    <cellStyle name="Normal 3" xfId="5" xr:uid="{00000000-0005-0000-0000-000029000000}"/>
    <cellStyle name="Normal 4" xfId="46" xr:uid="{00000000-0005-0000-0000-00002A000000}"/>
    <cellStyle name="Normal 5" xfId="48" xr:uid="{5669DFAB-8B50-4342-BABC-6B7021F50502}"/>
    <cellStyle name="Note 2" xfId="19" xr:uid="{00000000-0005-0000-0000-00002B000000}"/>
    <cellStyle name="Output 2" xfId="14" xr:uid="{00000000-0005-0000-0000-00002C000000}"/>
    <cellStyle name="Title" xfId="1" builtinId="15" customBuiltin="1"/>
    <cellStyle name="Total 2" xfId="21" xr:uid="{00000000-0005-0000-0000-00002E000000}"/>
    <cellStyle name="Warning Text 2" xfId="18" xr:uid="{00000000-0005-0000-0000-00002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veon80/Documents/Mallard%20Research/Canada%20Goose%20Work/CAGOData_Updates_04282023/LocalGooseCorrectionFactorNew_08222023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160.552982754627" createdVersion="8" refreshedVersion="8" minRefreshableVersion="3" recordCount="7267" xr:uid="{79F74289-0EA8-D64E-A80C-250A5FC8F91D}">
  <cacheSource type="worksheet">
    <worksheetSource ref="A1:Q1048576" sheet="Recov_Region_Data" r:id="rId2"/>
  </cacheSource>
  <cacheFields count="17">
    <cacheField name="Veon_ID_From_OldSheet" numFmtId="0">
      <sharedItems containsString="0" containsBlank="1" containsNumber="1" containsInteger="1" minValue="4" maxValue="21603"/>
    </cacheField>
    <cacheField name="ID_Band" numFmtId="0">
      <sharedItems containsString="0" containsBlank="1" containsNumber="1" containsInteger="1" minValue="95856725" maxValue="127851972"/>
    </cacheField>
    <cacheField name="Enc_Type" numFmtId="0">
      <sharedItems containsBlank="1"/>
    </cacheField>
    <cacheField name="Enc_Type_Num" numFmtId="0">
      <sharedItems containsString="0" containsBlank="1" containsNumber="1" containsInteger="1" minValue="200" maxValue="200"/>
    </cacheField>
    <cacheField name="Veon_Age" numFmtId="0">
      <sharedItems containsBlank="1"/>
    </cacheField>
    <cacheField name="Sex" numFmtId="0">
      <sharedItems containsBlank="1"/>
    </cacheField>
    <cacheField name="Month" numFmtId="0">
      <sharedItems containsString="0" containsBlank="1" containsNumber="1" containsInteger="1" minValue="1" maxValue="12"/>
    </cacheField>
    <cacheField name="Year" numFmtId="0">
      <sharedItems containsString="0" containsBlank="1" containsNumber="1" containsInteger="1" minValue="2005" maxValue="2021"/>
    </cacheField>
    <cacheField name="Encounter year" numFmtId="0">
      <sharedItems containsString="0" containsBlank="1" containsNumber="1" containsInteger="1" minValue="2005" maxValue="2020"/>
    </cacheField>
    <cacheField name="Interval" numFmtId="0">
      <sharedItems containsString="0" containsBlank="1" containsNumber="1" containsInteger="1" minValue="1" maxValue="16"/>
    </cacheField>
    <cacheField name="Interval Half" numFmtId="0">
      <sharedItems containsBlank="1" count="2">
        <s v="B"/>
        <m/>
      </sharedItems>
    </cacheField>
    <cacheField name="IntervalOfficial" numFmtId="0">
      <sharedItems containsBlank="1"/>
    </cacheField>
    <cacheField name="YearbySeas" numFmtId="0">
      <sharedItems containsBlank="1" count="17">
        <s v="2005B"/>
        <s v="2007B"/>
        <s v="2010B"/>
        <s v="2012B"/>
        <s v="2013B"/>
        <s v="2006B"/>
        <s v="2008B"/>
        <s v="2014B"/>
        <s v="2009B"/>
        <s v="2011B"/>
        <s v="2018B"/>
        <s v="2019B"/>
        <s v="2016B"/>
        <s v="2017B"/>
        <s v="2015B"/>
        <s v="2020B"/>
        <m/>
      </sharedItems>
    </cacheField>
    <cacheField name="HOW_OBTAINED_UsingOriginalBand" numFmtId="0">
      <sharedItems containsString="0" containsBlank="1" containsNumber="1" containsInteger="1" minValue="1" maxValue="1"/>
    </cacheField>
    <cacheField name="E_Region" numFmtId="0">
      <sharedItems containsString="0" containsBlank="1" containsNumber="1" containsInteger="1" minValue="6" maxValue="91"/>
    </cacheField>
    <cacheField name="State_Province" numFmtId="0">
      <sharedItems containsBlank="1" count="26">
        <s v="Arkansas"/>
        <s v="Manitoba"/>
        <s v="Oklahoma"/>
        <s v="Minnesota"/>
        <s v="North Dakota"/>
        <s v="Wisconsin"/>
        <s v="Indiana"/>
        <s v="Kansas"/>
        <s v="Georgia"/>
        <s v="Illinois"/>
        <s v="Ohio"/>
        <s v="Missouri"/>
        <s v="Iowa"/>
        <s v="South Carolina"/>
        <s v="Pennsylvania"/>
        <s v="Tennessee"/>
        <s v="Colorado"/>
        <s v="South Dakota"/>
        <s v="Texas"/>
        <s v="Kentucky"/>
        <s v="Michigan"/>
        <s v="Mississippi"/>
        <s v="Louisiana"/>
        <s v="Ontario"/>
        <s v="Arizona"/>
        <m/>
      </sharedItems>
    </cacheField>
    <cacheField name="ArkansasOther" numFmtId="0">
      <sharedItems containsBlank="1" count="3">
        <s v="Arkansas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67">
  <r>
    <n v="4"/>
    <n v="97889945"/>
    <s v="Recovery"/>
    <n v="200"/>
    <s v="AHY"/>
    <s v="M"/>
    <n v="1"/>
    <n v="2006"/>
    <n v="2005"/>
    <n v="1"/>
    <x v="0"/>
    <s v="1B"/>
    <x v="0"/>
    <n v="1"/>
    <n v="7"/>
    <x v="0"/>
    <x v="0"/>
  </r>
  <r>
    <n v="6"/>
    <n v="97889947"/>
    <s v="Recovery"/>
    <n v="200"/>
    <s v="AHY"/>
    <s v="M"/>
    <n v="9"/>
    <n v="2007"/>
    <n v="2007"/>
    <n v="3"/>
    <x v="0"/>
    <s v="3B"/>
    <x v="1"/>
    <n v="1"/>
    <n v="7"/>
    <x v="0"/>
    <x v="0"/>
  </r>
  <r>
    <n v="7"/>
    <n v="97889948"/>
    <s v="Recovery"/>
    <n v="200"/>
    <s v="AHY"/>
    <s v="M"/>
    <n v="9"/>
    <n v="2010"/>
    <n v="2010"/>
    <n v="6"/>
    <x v="0"/>
    <s v="6B"/>
    <x v="2"/>
    <n v="1"/>
    <n v="7"/>
    <x v="0"/>
    <x v="0"/>
  </r>
  <r>
    <n v="8"/>
    <n v="97889949"/>
    <s v="Recovery"/>
    <n v="200"/>
    <s v="AHY"/>
    <s v="F"/>
    <n v="9"/>
    <n v="2010"/>
    <n v="2010"/>
    <n v="6"/>
    <x v="0"/>
    <s v="6B"/>
    <x v="2"/>
    <n v="1"/>
    <n v="7"/>
    <x v="0"/>
    <x v="0"/>
  </r>
  <r>
    <n v="10"/>
    <n v="98849401"/>
    <s v="Recovery"/>
    <n v="200"/>
    <s v="AHY"/>
    <s v="F"/>
    <n v="1"/>
    <n v="2008"/>
    <n v="2007"/>
    <n v="3"/>
    <x v="0"/>
    <s v="3B"/>
    <x v="1"/>
    <n v="1"/>
    <n v="7"/>
    <x v="0"/>
    <x v="0"/>
  </r>
  <r>
    <n v="23"/>
    <n v="98849414"/>
    <s v="Recovery"/>
    <n v="200"/>
    <s v="AHY"/>
    <s v="M"/>
    <n v="9"/>
    <n v="2012"/>
    <n v="2012"/>
    <n v="8"/>
    <x v="0"/>
    <s v="8B"/>
    <x v="3"/>
    <n v="1"/>
    <n v="7"/>
    <x v="0"/>
    <x v="0"/>
  </r>
  <r>
    <n v="26"/>
    <n v="98849417"/>
    <s v="Recovery"/>
    <n v="200"/>
    <s v="AHY"/>
    <s v="M"/>
    <n v="1"/>
    <n v="2008"/>
    <n v="2007"/>
    <n v="3"/>
    <x v="0"/>
    <s v="3B"/>
    <x v="1"/>
    <n v="1"/>
    <n v="7"/>
    <x v="0"/>
    <x v="0"/>
  </r>
  <r>
    <n v="40"/>
    <n v="98849431"/>
    <s v="Recovery"/>
    <n v="200"/>
    <s v="AHY"/>
    <s v="M"/>
    <n v="12"/>
    <n v="2013"/>
    <n v="2013"/>
    <n v="9"/>
    <x v="0"/>
    <s v="9B"/>
    <x v="4"/>
    <n v="1"/>
    <n v="7"/>
    <x v="0"/>
    <x v="0"/>
  </r>
  <r>
    <n v="42"/>
    <n v="98849433"/>
    <s v="Recovery"/>
    <n v="200"/>
    <s v="AHY"/>
    <s v="F"/>
    <n v="12"/>
    <n v="2006"/>
    <n v="2006"/>
    <n v="2"/>
    <x v="0"/>
    <s v="2B"/>
    <x v="5"/>
    <n v="1"/>
    <n v="7"/>
    <x v="0"/>
    <x v="0"/>
  </r>
  <r>
    <n v="44"/>
    <n v="98849435"/>
    <s v="Recovery"/>
    <n v="200"/>
    <s v="AHY"/>
    <s v="F"/>
    <n v="9"/>
    <n v="2008"/>
    <n v="2008"/>
    <n v="4"/>
    <x v="0"/>
    <s v="4B"/>
    <x v="6"/>
    <n v="1"/>
    <n v="45"/>
    <x v="1"/>
    <x v="1"/>
  </r>
  <r>
    <n v="51"/>
    <n v="98849574"/>
    <s v="Recovery"/>
    <n v="200"/>
    <s v="AHY"/>
    <s v="F"/>
    <n v="1"/>
    <n v="2009"/>
    <n v="2008"/>
    <n v="4"/>
    <x v="0"/>
    <s v="4B"/>
    <x v="6"/>
    <n v="1"/>
    <n v="7"/>
    <x v="0"/>
    <x v="0"/>
  </r>
  <r>
    <n v="59"/>
    <n v="98849582"/>
    <s v="Recovery"/>
    <n v="200"/>
    <s v="AHY"/>
    <s v="F"/>
    <n v="1"/>
    <n v="2006"/>
    <n v="2005"/>
    <n v="1"/>
    <x v="0"/>
    <s v="1B"/>
    <x v="0"/>
    <n v="1"/>
    <n v="7"/>
    <x v="0"/>
    <x v="0"/>
  </r>
  <r>
    <n v="66"/>
    <n v="98849589"/>
    <s v="Recovery"/>
    <n v="200"/>
    <s v="AHY"/>
    <s v="F"/>
    <n v="1"/>
    <n v="2006"/>
    <n v="2005"/>
    <n v="1"/>
    <x v="0"/>
    <s v="1B"/>
    <x v="0"/>
    <n v="1"/>
    <n v="7"/>
    <x v="0"/>
    <x v="0"/>
  </r>
  <r>
    <n v="67"/>
    <n v="98849590"/>
    <s v="Recovery"/>
    <n v="200"/>
    <s v="AHY"/>
    <s v="M"/>
    <n v="1"/>
    <n v="2006"/>
    <n v="2005"/>
    <n v="1"/>
    <x v="0"/>
    <s v="1B"/>
    <x v="0"/>
    <n v="1"/>
    <n v="7"/>
    <x v="0"/>
    <x v="0"/>
  </r>
  <r>
    <n v="69"/>
    <n v="98849592"/>
    <s v="Recovery"/>
    <n v="200"/>
    <s v="AHY"/>
    <s v="M"/>
    <n v="1"/>
    <n v="2007"/>
    <n v="2006"/>
    <n v="2"/>
    <x v="0"/>
    <s v="2B"/>
    <x v="5"/>
    <n v="1"/>
    <n v="7"/>
    <x v="0"/>
    <x v="0"/>
  </r>
  <r>
    <n v="70"/>
    <n v="98849593"/>
    <s v="Recovery"/>
    <n v="200"/>
    <s v="AHY"/>
    <s v="F"/>
    <n v="1"/>
    <n v="2006"/>
    <n v="2005"/>
    <n v="1"/>
    <x v="0"/>
    <s v="1B"/>
    <x v="0"/>
    <n v="1"/>
    <n v="7"/>
    <x v="0"/>
    <x v="0"/>
  </r>
  <r>
    <n v="71"/>
    <n v="98849594"/>
    <s v="Recovery"/>
    <n v="200"/>
    <s v="AHY"/>
    <s v="M"/>
    <n v="1"/>
    <n v="2006"/>
    <n v="2005"/>
    <n v="1"/>
    <x v="0"/>
    <s v="1B"/>
    <x v="0"/>
    <n v="1"/>
    <n v="7"/>
    <x v="0"/>
    <x v="0"/>
  </r>
  <r>
    <n v="81"/>
    <n v="100888005"/>
    <s v="Recovery"/>
    <n v="200"/>
    <s v="AHY"/>
    <s v="F"/>
    <n v="10"/>
    <n v="2005"/>
    <n v="2005"/>
    <n v="1"/>
    <x v="0"/>
    <s v="1B"/>
    <x v="0"/>
    <n v="1"/>
    <n v="7"/>
    <x v="0"/>
    <x v="0"/>
  </r>
  <r>
    <n v="85"/>
    <n v="100888009"/>
    <s v="Recovery"/>
    <n v="200"/>
    <s v="AHY"/>
    <s v="M"/>
    <n v="1"/>
    <n v="2008"/>
    <n v="2007"/>
    <n v="3"/>
    <x v="0"/>
    <s v="3B"/>
    <x v="1"/>
    <n v="1"/>
    <n v="7"/>
    <x v="0"/>
    <x v="0"/>
  </r>
  <r>
    <n v="90"/>
    <n v="100888014"/>
    <s v="Recovery"/>
    <n v="200"/>
    <s v="AHY"/>
    <s v="F"/>
    <n v="1"/>
    <n v="2008"/>
    <n v="2007"/>
    <n v="3"/>
    <x v="0"/>
    <s v="3B"/>
    <x v="1"/>
    <n v="1"/>
    <n v="7"/>
    <x v="0"/>
    <x v="0"/>
  </r>
  <r>
    <n v="98"/>
    <n v="100888022"/>
    <s v="Recovery"/>
    <n v="200"/>
    <s v="AHY"/>
    <s v="M"/>
    <n v="1"/>
    <n v="2008"/>
    <n v="2007"/>
    <n v="3"/>
    <x v="0"/>
    <s v="3B"/>
    <x v="1"/>
    <n v="1"/>
    <n v="7"/>
    <x v="0"/>
    <x v="0"/>
  </r>
  <r>
    <n v="99"/>
    <n v="100888023"/>
    <s v="Recovery"/>
    <n v="200"/>
    <s v="AHY"/>
    <s v="M"/>
    <n v="9"/>
    <n v="2014"/>
    <n v="2014"/>
    <n v="10"/>
    <x v="0"/>
    <s v="10B"/>
    <x v="7"/>
    <n v="1"/>
    <n v="7"/>
    <x v="0"/>
    <x v="0"/>
  </r>
  <r>
    <n v="100"/>
    <n v="100888024"/>
    <s v="Recovery"/>
    <n v="200"/>
    <s v="AHY"/>
    <s v="M"/>
    <n v="2"/>
    <n v="2006"/>
    <n v="2005"/>
    <n v="1"/>
    <x v="0"/>
    <s v="1B"/>
    <x v="0"/>
    <n v="1"/>
    <n v="7"/>
    <x v="0"/>
    <x v="0"/>
  </r>
  <r>
    <n v="104"/>
    <n v="100888028"/>
    <s v="Recovery"/>
    <n v="200"/>
    <s v="AHY"/>
    <s v="M"/>
    <n v="1"/>
    <n v="2007"/>
    <n v="2006"/>
    <n v="2"/>
    <x v="0"/>
    <s v="2B"/>
    <x v="5"/>
    <n v="1"/>
    <n v="7"/>
    <x v="0"/>
    <x v="0"/>
  </r>
  <r>
    <n v="110"/>
    <n v="100888034"/>
    <s v="Recovery"/>
    <n v="200"/>
    <s v="AHY"/>
    <s v="M"/>
    <n v="9"/>
    <n v="2007"/>
    <n v="2007"/>
    <n v="3"/>
    <x v="0"/>
    <s v="3B"/>
    <x v="1"/>
    <n v="1"/>
    <n v="7"/>
    <x v="0"/>
    <x v="0"/>
  </r>
  <r>
    <n v="113"/>
    <n v="100888037"/>
    <s v="Recovery"/>
    <n v="200"/>
    <s v="AHY"/>
    <s v="F"/>
    <n v="9"/>
    <n v="2013"/>
    <n v="2013"/>
    <n v="9"/>
    <x v="0"/>
    <s v="9B"/>
    <x v="4"/>
    <n v="1"/>
    <n v="7"/>
    <x v="0"/>
    <x v="0"/>
  </r>
  <r>
    <n v="115"/>
    <n v="100888039"/>
    <s v="Recovery"/>
    <n v="200"/>
    <s v="AHY"/>
    <s v="F"/>
    <n v="2"/>
    <n v="2007"/>
    <n v="2006"/>
    <n v="2"/>
    <x v="0"/>
    <s v="2B"/>
    <x v="5"/>
    <n v="1"/>
    <n v="7"/>
    <x v="0"/>
    <x v="0"/>
  </r>
  <r>
    <n v="116"/>
    <n v="100888040"/>
    <s v="Recovery"/>
    <n v="200"/>
    <s v="AHY"/>
    <s v="F"/>
    <n v="1"/>
    <n v="2010"/>
    <n v="2009"/>
    <n v="5"/>
    <x v="0"/>
    <s v="5B"/>
    <x v="8"/>
    <n v="1"/>
    <n v="7"/>
    <x v="0"/>
    <x v="0"/>
  </r>
  <r>
    <n v="117"/>
    <n v="100888041"/>
    <s v="Recovery"/>
    <n v="200"/>
    <s v="AHY"/>
    <s v="F"/>
    <n v="9"/>
    <n v="2010"/>
    <n v="2010"/>
    <n v="6"/>
    <x v="0"/>
    <s v="6B"/>
    <x v="2"/>
    <n v="1"/>
    <n v="7"/>
    <x v="0"/>
    <x v="0"/>
  </r>
  <r>
    <n v="119"/>
    <n v="100888043"/>
    <s v="Recovery"/>
    <n v="200"/>
    <s v="AHY"/>
    <s v="F"/>
    <n v="1"/>
    <n v="2007"/>
    <n v="2006"/>
    <n v="2"/>
    <x v="0"/>
    <s v="2B"/>
    <x v="5"/>
    <n v="1"/>
    <n v="7"/>
    <x v="0"/>
    <x v="0"/>
  </r>
  <r>
    <n v="121"/>
    <n v="100888045"/>
    <s v="Recovery"/>
    <n v="200"/>
    <s v="AHY"/>
    <s v="M"/>
    <n v="1"/>
    <n v="2007"/>
    <n v="2006"/>
    <n v="2"/>
    <x v="0"/>
    <s v="2B"/>
    <x v="5"/>
    <n v="1"/>
    <n v="7"/>
    <x v="0"/>
    <x v="0"/>
  </r>
  <r>
    <n v="124"/>
    <n v="100888048"/>
    <s v="Recovery"/>
    <n v="200"/>
    <s v="AHY"/>
    <s v="M"/>
    <n v="9"/>
    <n v="2007"/>
    <n v="2007"/>
    <n v="3"/>
    <x v="0"/>
    <s v="3B"/>
    <x v="1"/>
    <n v="1"/>
    <n v="7"/>
    <x v="0"/>
    <x v="0"/>
  </r>
  <r>
    <n v="129"/>
    <n v="100888053"/>
    <s v="Recovery"/>
    <n v="200"/>
    <s v="AHY"/>
    <s v="F"/>
    <n v="10"/>
    <n v="2005"/>
    <n v="2005"/>
    <n v="1"/>
    <x v="0"/>
    <s v="1B"/>
    <x v="0"/>
    <n v="1"/>
    <n v="7"/>
    <x v="0"/>
    <x v="0"/>
  </r>
  <r>
    <n v="135"/>
    <n v="100888059"/>
    <s v="Recovery"/>
    <n v="200"/>
    <s v="AHY"/>
    <s v="F"/>
    <n v="9"/>
    <n v="2007"/>
    <n v="2007"/>
    <n v="3"/>
    <x v="0"/>
    <s v="3B"/>
    <x v="1"/>
    <n v="1"/>
    <n v="7"/>
    <x v="0"/>
    <x v="0"/>
  </r>
  <r>
    <n v="139"/>
    <n v="100888063"/>
    <s v="Recovery"/>
    <n v="200"/>
    <s v="AHY"/>
    <s v="M"/>
    <n v="1"/>
    <n v="2011"/>
    <n v="2010"/>
    <n v="6"/>
    <x v="0"/>
    <s v="6B"/>
    <x v="2"/>
    <n v="1"/>
    <n v="7"/>
    <x v="0"/>
    <x v="0"/>
  </r>
  <r>
    <n v="141"/>
    <n v="100888065"/>
    <s v="Recovery"/>
    <n v="200"/>
    <s v="AHY"/>
    <s v="M"/>
    <n v="1"/>
    <n v="2007"/>
    <n v="2006"/>
    <n v="2"/>
    <x v="0"/>
    <s v="2B"/>
    <x v="5"/>
    <n v="1"/>
    <n v="7"/>
    <x v="0"/>
    <x v="0"/>
  </r>
  <r>
    <n v="145"/>
    <n v="100888069"/>
    <s v="Recovery"/>
    <n v="200"/>
    <s v="AHY"/>
    <s v="F"/>
    <n v="12"/>
    <n v="2007"/>
    <n v="2007"/>
    <n v="3"/>
    <x v="0"/>
    <s v="3B"/>
    <x v="1"/>
    <n v="1"/>
    <n v="7"/>
    <x v="0"/>
    <x v="0"/>
  </r>
  <r>
    <n v="146"/>
    <n v="100888070"/>
    <s v="Recovery"/>
    <n v="200"/>
    <s v="AHY"/>
    <s v="F"/>
    <n v="1"/>
    <n v="2012"/>
    <n v="2011"/>
    <n v="7"/>
    <x v="0"/>
    <s v="7B"/>
    <x v="9"/>
    <n v="1"/>
    <n v="7"/>
    <x v="0"/>
    <x v="0"/>
  </r>
  <r>
    <n v="147"/>
    <n v="100888071"/>
    <s v="Recovery"/>
    <n v="200"/>
    <s v="AHY"/>
    <s v="F"/>
    <n v="9"/>
    <n v="2007"/>
    <n v="2007"/>
    <n v="3"/>
    <x v="0"/>
    <s v="3B"/>
    <x v="1"/>
    <n v="1"/>
    <n v="7"/>
    <x v="0"/>
    <x v="0"/>
  </r>
  <r>
    <n v="153"/>
    <n v="100888077"/>
    <s v="Recovery"/>
    <n v="200"/>
    <s v="AHY"/>
    <s v="F"/>
    <n v="2"/>
    <n v="2006"/>
    <n v="2005"/>
    <n v="1"/>
    <x v="0"/>
    <s v="1B"/>
    <x v="0"/>
    <n v="1"/>
    <n v="7"/>
    <x v="0"/>
    <x v="0"/>
  </r>
  <r>
    <n v="163"/>
    <n v="100888087"/>
    <s v="Recovery"/>
    <n v="200"/>
    <s v="AHY"/>
    <s v="M"/>
    <n v="2"/>
    <n v="2006"/>
    <n v="2005"/>
    <n v="1"/>
    <x v="0"/>
    <s v="1B"/>
    <x v="0"/>
    <n v="1"/>
    <n v="7"/>
    <x v="0"/>
    <x v="0"/>
  </r>
  <r>
    <n v="166"/>
    <n v="100888090"/>
    <s v="Recovery"/>
    <n v="200"/>
    <s v="AHY"/>
    <s v="F"/>
    <n v="1"/>
    <n v="2009"/>
    <n v="2008"/>
    <n v="4"/>
    <x v="0"/>
    <s v="4B"/>
    <x v="6"/>
    <n v="1"/>
    <n v="7"/>
    <x v="0"/>
    <x v="0"/>
  </r>
  <r>
    <n v="172"/>
    <n v="100888096"/>
    <s v="Recovery"/>
    <n v="200"/>
    <s v="AHY"/>
    <s v="M"/>
    <n v="2"/>
    <n v="2006"/>
    <n v="2005"/>
    <n v="1"/>
    <x v="0"/>
    <s v="1B"/>
    <x v="0"/>
    <n v="1"/>
    <n v="7"/>
    <x v="0"/>
    <x v="0"/>
  </r>
  <r>
    <n v="176"/>
    <n v="100888100"/>
    <s v="Recovery"/>
    <n v="200"/>
    <s v="AHY"/>
    <s v="F"/>
    <n v="1"/>
    <n v="2006"/>
    <n v="2005"/>
    <n v="1"/>
    <x v="0"/>
    <s v="1B"/>
    <x v="0"/>
    <n v="1"/>
    <n v="7"/>
    <x v="0"/>
    <x v="0"/>
  </r>
  <r>
    <n v="179"/>
    <n v="100888103"/>
    <s v="Recovery"/>
    <n v="200"/>
    <s v="AHY"/>
    <s v="F"/>
    <n v="12"/>
    <n v="2011"/>
    <n v="2011"/>
    <n v="7"/>
    <x v="0"/>
    <s v="7B"/>
    <x v="9"/>
    <n v="1"/>
    <n v="7"/>
    <x v="0"/>
    <x v="0"/>
  </r>
  <r>
    <n v="186"/>
    <n v="100888110"/>
    <s v="Recovery"/>
    <n v="200"/>
    <s v="AHY"/>
    <s v="M"/>
    <n v="10"/>
    <n v="2005"/>
    <n v="2005"/>
    <n v="1"/>
    <x v="0"/>
    <s v="1B"/>
    <x v="0"/>
    <n v="1"/>
    <n v="7"/>
    <x v="0"/>
    <x v="0"/>
  </r>
  <r>
    <n v="188"/>
    <n v="100888112"/>
    <s v="Recovery"/>
    <n v="200"/>
    <s v="AHY"/>
    <s v="M"/>
    <n v="1"/>
    <n v="2019"/>
    <n v="2018"/>
    <n v="14"/>
    <x v="0"/>
    <s v="14B"/>
    <x v="10"/>
    <n v="1"/>
    <n v="7"/>
    <x v="0"/>
    <x v="0"/>
  </r>
  <r>
    <n v="197"/>
    <n v="100888121"/>
    <s v="Recovery"/>
    <n v="200"/>
    <s v="AHY"/>
    <s v="M"/>
    <n v="2"/>
    <n v="2006"/>
    <n v="2005"/>
    <n v="1"/>
    <x v="0"/>
    <s v="1B"/>
    <x v="0"/>
    <n v="1"/>
    <n v="7"/>
    <x v="0"/>
    <x v="0"/>
  </r>
  <r>
    <n v="212"/>
    <n v="100888136"/>
    <s v="Recovery"/>
    <n v="200"/>
    <s v="AHY"/>
    <s v="F"/>
    <n v="1"/>
    <n v="2006"/>
    <n v="2005"/>
    <n v="1"/>
    <x v="0"/>
    <s v="1B"/>
    <x v="0"/>
    <n v="1"/>
    <n v="7"/>
    <x v="0"/>
    <x v="0"/>
  </r>
  <r>
    <n v="215"/>
    <n v="100888139"/>
    <s v="Recovery"/>
    <n v="200"/>
    <s v="AHY"/>
    <s v="M"/>
    <n v="1"/>
    <n v="2006"/>
    <n v="2005"/>
    <n v="1"/>
    <x v="0"/>
    <s v="1B"/>
    <x v="0"/>
    <n v="1"/>
    <n v="7"/>
    <x v="0"/>
    <x v="0"/>
  </r>
  <r>
    <n v="218"/>
    <n v="100888142"/>
    <s v="Recovery"/>
    <n v="200"/>
    <s v="AHY"/>
    <s v="M"/>
    <n v="1"/>
    <n v="2006"/>
    <n v="2005"/>
    <n v="1"/>
    <x v="0"/>
    <s v="1B"/>
    <x v="0"/>
    <n v="1"/>
    <n v="7"/>
    <x v="0"/>
    <x v="0"/>
  </r>
  <r>
    <n v="223"/>
    <n v="100888147"/>
    <s v="Recovery"/>
    <n v="200"/>
    <s v="AHY"/>
    <s v="M"/>
    <n v="1"/>
    <n v="2007"/>
    <n v="2006"/>
    <n v="2"/>
    <x v="0"/>
    <s v="2B"/>
    <x v="5"/>
    <n v="1"/>
    <n v="7"/>
    <x v="0"/>
    <x v="0"/>
  </r>
  <r>
    <n v="228"/>
    <n v="100888152"/>
    <s v="Recovery"/>
    <n v="200"/>
    <s v="AHY"/>
    <s v="F"/>
    <n v="1"/>
    <n v="2006"/>
    <n v="2005"/>
    <n v="1"/>
    <x v="0"/>
    <s v="1B"/>
    <x v="0"/>
    <n v="1"/>
    <n v="7"/>
    <x v="0"/>
    <x v="0"/>
  </r>
  <r>
    <n v="230"/>
    <n v="100888154"/>
    <s v="Recovery"/>
    <n v="200"/>
    <s v="AHY"/>
    <s v="F"/>
    <n v="12"/>
    <n v="2007"/>
    <n v="2007"/>
    <n v="3"/>
    <x v="0"/>
    <s v="3B"/>
    <x v="1"/>
    <n v="1"/>
    <n v="67"/>
    <x v="2"/>
    <x v="1"/>
  </r>
  <r>
    <n v="233"/>
    <n v="100888157"/>
    <s v="Recovery"/>
    <n v="200"/>
    <s v="AHY"/>
    <s v="F"/>
    <n v="11"/>
    <n v="2011"/>
    <n v="2011"/>
    <n v="7"/>
    <x v="0"/>
    <s v="7B"/>
    <x v="9"/>
    <n v="1"/>
    <n v="7"/>
    <x v="0"/>
    <x v="0"/>
  </r>
  <r>
    <n v="234"/>
    <n v="100888158"/>
    <s v="Recovery"/>
    <n v="200"/>
    <s v="AHY"/>
    <s v="M"/>
    <n v="10"/>
    <n v="2006"/>
    <n v="2006"/>
    <n v="2"/>
    <x v="0"/>
    <s v="2B"/>
    <x v="5"/>
    <n v="1"/>
    <n v="7"/>
    <x v="0"/>
    <x v="0"/>
  </r>
  <r>
    <n v="238"/>
    <n v="100888202"/>
    <s v="Recovery"/>
    <n v="200"/>
    <s v="AHY"/>
    <s v="F"/>
    <n v="12"/>
    <n v="2012"/>
    <n v="2012"/>
    <n v="8"/>
    <x v="0"/>
    <s v="8B"/>
    <x v="3"/>
    <n v="1"/>
    <n v="7"/>
    <x v="0"/>
    <x v="0"/>
  </r>
  <r>
    <n v="239"/>
    <n v="100888203"/>
    <s v="Recovery"/>
    <n v="200"/>
    <s v="AHY"/>
    <s v="M"/>
    <n v="9"/>
    <n v="2008"/>
    <n v="2008"/>
    <n v="4"/>
    <x v="0"/>
    <s v="4B"/>
    <x v="6"/>
    <n v="1"/>
    <n v="7"/>
    <x v="0"/>
    <x v="0"/>
  </r>
  <r>
    <n v="241"/>
    <n v="100888205"/>
    <s v="Recovery"/>
    <n v="200"/>
    <s v="AHY"/>
    <s v="F"/>
    <n v="1"/>
    <n v="2007"/>
    <n v="2006"/>
    <n v="2"/>
    <x v="0"/>
    <s v="2B"/>
    <x v="5"/>
    <n v="1"/>
    <n v="7"/>
    <x v="0"/>
    <x v="0"/>
  </r>
  <r>
    <n v="245"/>
    <n v="100888209"/>
    <s v="Recovery"/>
    <n v="200"/>
    <s v="AHY"/>
    <s v="M"/>
    <n v="1"/>
    <n v="2007"/>
    <n v="2006"/>
    <n v="2"/>
    <x v="0"/>
    <s v="2B"/>
    <x v="5"/>
    <n v="1"/>
    <n v="7"/>
    <x v="0"/>
    <x v="0"/>
  </r>
  <r>
    <n v="246"/>
    <n v="100888210"/>
    <s v="Recovery"/>
    <n v="200"/>
    <s v="AHY"/>
    <s v="M"/>
    <n v="2"/>
    <n v="2007"/>
    <n v="2006"/>
    <n v="2"/>
    <x v="0"/>
    <s v="2B"/>
    <x v="5"/>
    <n v="1"/>
    <n v="7"/>
    <x v="0"/>
    <x v="0"/>
  </r>
  <r>
    <n v="248"/>
    <n v="100888212"/>
    <s v="Recovery"/>
    <n v="200"/>
    <s v="AHY"/>
    <s v="F"/>
    <n v="9"/>
    <n v="2008"/>
    <n v="2008"/>
    <n v="4"/>
    <x v="0"/>
    <s v="4B"/>
    <x v="6"/>
    <n v="1"/>
    <n v="7"/>
    <x v="0"/>
    <x v="0"/>
  </r>
  <r>
    <n v="249"/>
    <n v="100888213"/>
    <s v="Recovery"/>
    <n v="200"/>
    <s v="AHY"/>
    <s v="M"/>
    <n v="1"/>
    <n v="2009"/>
    <n v="2008"/>
    <n v="4"/>
    <x v="0"/>
    <s v="4B"/>
    <x v="6"/>
    <n v="1"/>
    <n v="7"/>
    <x v="0"/>
    <x v="0"/>
  </r>
  <r>
    <n v="251"/>
    <n v="100888215"/>
    <s v="Recovery"/>
    <n v="200"/>
    <s v="AHY"/>
    <s v="M"/>
    <n v="1"/>
    <n v="2009"/>
    <n v="2008"/>
    <n v="4"/>
    <x v="0"/>
    <s v="4B"/>
    <x v="6"/>
    <n v="1"/>
    <n v="7"/>
    <x v="0"/>
    <x v="0"/>
  </r>
  <r>
    <n v="255"/>
    <n v="100888219"/>
    <s v="Recovery"/>
    <n v="200"/>
    <s v="AHY"/>
    <s v="M"/>
    <n v="2"/>
    <n v="2006"/>
    <n v="2005"/>
    <n v="1"/>
    <x v="0"/>
    <s v="1B"/>
    <x v="0"/>
    <n v="1"/>
    <n v="7"/>
    <x v="0"/>
    <x v="0"/>
  </r>
  <r>
    <n v="256"/>
    <n v="100888220"/>
    <s v="Recovery"/>
    <n v="200"/>
    <s v="AHY"/>
    <s v="M"/>
    <n v="1"/>
    <n v="2009"/>
    <n v="2008"/>
    <n v="4"/>
    <x v="0"/>
    <s v="4B"/>
    <x v="6"/>
    <n v="1"/>
    <n v="7"/>
    <x v="0"/>
    <x v="0"/>
  </r>
  <r>
    <n v="261"/>
    <n v="100888225"/>
    <s v="Recovery"/>
    <n v="200"/>
    <s v="AHY"/>
    <s v="M"/>
    <n v="1"/>
    <n v="2007"/>
    <n v="2006"/>
    <n v="2"/>
    <x v="0"/>
    <s v="2B"/>
    <x v="5"/>
    <n v="1"/>
    <n v="7"/>
    <x v="0"/>
    <x v="0"/>
  </r>
  <r>
    <n v="269"/>
    <n v="100888233"/>
    <s v="Recovery"/>
    <n v="200"/>
    <s v="AHY"/>
    <s v="F"/>
    <n v="9"/>
    <n v="2011"/>
    <n v="2011"/>
    <n v="7"/>
    <x v="0"/>
    <s v="7B"/>
    <x v="9"/>
    <n v="1"/>
    <n v="7"/>
    <x v="0"/>
    <x v="0"/>
  </r>
  <r>
    <n v="270"/>
    <n v="100888234"/>
    <s v="Recovery"/>
    <n v="200"/>
    <s v="AHY"/>
    <s v="F"/>
    <n v="12"/>
    <n v="2019"/>
    <n v="2019"/>
    <n v="15"/>
    <x v="0"/>
    <s v="15B"/>
    <x v="11"/>
    <n v="1"/>
    <n v="7"/>
    <x v="0"/>
    <x v="0"/>
  </r>
  <r>
    <n v="275"/>
    <n v="100888239"/>
    <s v="Recovery"/>
    <n v="200"/>
    <s v="AHY"/>
    <s v="M"/>
    <n v="1"/>
    <n v="2006"/>
    <n v="2005"/>
    <n v="1"/>
    <x v="0"/>
    <s v="1B"/>
    <x v="0"/>
    <n v="1"/>
    <n v="7"/>
    <x v="0"/>
    <x v="0"/>
  </r>
  <r>
    <n v="278"/>
    <n v="100888242"/>
    <s v="Recovery"/>
    <n v="200"/>
    <s v="AHY"/>
    <s v="M"/>
    <n v="11"/>
    <n v="2010"/>
    <n v="2010"/>
    <n v="6"/>
    <x v="0"/>
    <s v="6B"/>
    <x v="2"/>
    <n v="1"/>
    <n v="7"/>
    <x v="0"/>
    <x v="0"/>
  </r>
  <r>
    <n v="279"/>
    <n v="100888243"/>
    <s v="Recovery"/>
    <n v="200"/>
    <s v="AHY"/>
    <s v="F"/>
    <n v="12"/>
    <n v="2007"/>
    <n v="2007"/>
    <n v="3"/>
    <x v="0"/>
    <s v="3B"/>
    <x v="1"/>
    <n v="1"/>
    <n v="7"/>
    <x v="0"/>
    <x v="0"/>
  </r>
  <r>
    <n v="291"/>
    <n v="100888255"/>
    <s v="Recovery"/>
    <n v="200"/>
    <s v="AHY"/>
    <s v="M"/>
    <n v="1"/>
    <n v="2010"/>
    <n v="2009"/>
    <n v="5"/>
    <x v="0"/>
    <s v="5B"/>
    <x v="8"/>
    <n v="1"/>
    <n v="7"/>
    <x v="0"/>
    <x v="0"/>
  </r>
  <r>
    <n v="295"/>
    <n v="100888259"/>
    <s v="Recovery"/>
    <n v="200"/>
    <s v="AHY"/>
    <s v="F"/>
    <n v="11"/>
    <n v="2013"/>
    <n v="2013"/>
    <n v="9"/>
    <x v="0"/>
    <s v="9B"/>
    <x v="4"/>
    <n v="1"/>
    <n v="7"/>
    <x v="0"/>
    <x v="0"/>
  </r>
  <r>
    <n v="298"/>
    <n v="100888262"/>
    <s v="Recovery"/>
    <n v="200"/>
    <s v="AHY"/>
    <s v="M"/>
    <n v="1"/>
    <n v="2010"/>
    <n v="2009"/>
    <n v="5"/>
    <x v="0"/>
    <s v="5B"/>
    <x v="8"/>
    <n v="1"/>
    <n v="7"/>
    <x v="0"/>
    <x v="0"/>
  </r>
  <r>
    <n v="301"/>
    <n v="100888265"/>
    <s v="Recovery"/>
    <n v="200"/>
    <s v="AHY"/>
    <s v="F"/>
    <n v="10"/>
    <n v="2009"/>
    <n v="2009"/>
    <n v="5"/>
    <x v="0"/>
    <s v="5B"/>
    <x v="8"/>
    <n v="1"/>
    <n v="7"/>
    <x v="0"/>
    <x v="0"/>
  </r>
  <r>
    <n v="304"/>
    <n v="100888268"/>
    <s v="Recovery"/>
    <n v="200"/>
    <s v="AHY"/>
    <s v="M"/>
    <n v="1"/>
    <n v="2009"/>
    <n v="2008"/>
    <n v="4"/>
    <x v="0"/>
    <s v="4B"/>
    <x v="6"/>
    <n v="1"/>
    <n v="7"/>
    <x v="0"/>
    <x v="0"/>
  </r>
  <r>
    <n v="312"/>
    <n v="100888276"/>
    <s v="Recovery"/>
    <n v="200"/>
    <s v="AHY"/>
    <s v="M"/>
    <n v="2"/>
    <n v="2007"/>
    <n v="2006"/>
    <n v="2"/>
    <x v="0"/>
    <s v="2B"/>
    <x v="5"/>
    <n v="1"/>
    <n v="7"/>
    <x v="0"/>
    <x v="0"/>
  </r>
  <r>
    <n v="316"/>
    <n v="100888280"/>
    <s v="Recovery"/>
    <n v="200"/>
    <s v="AHY"/>
    <s v="M"/>
    <n v="9"/>
    <n v="2007"/>
    <n v="2007"/>
    <n v="3"/>
    <x v="0"/>
    <s v="3B"/>
    <x v="1"/>
    <n v="1"/>
    <n v="7"/>
    <x v="0"/>
    <x v="0"/>
  </r>
  <r>
    <n v="321"/>
    <n v="100888285"/>
    <s v="Recovery"/>
    <n v="200"/>
    <s v="AHY"/>
    <s v="M"/>
    <n v="2"/>
    <n v="2007"/>
    <n v="2006"/>
    <n v="2"/>
    <x v="0"/>
    <s v="2B"/>
    <x v="5"/>
    <n v="1"/>
    <n v="7"/>
    <x v="0"/>
    <x v="0"/>
  </r>
  <r>
    <n v="326"/>
    <n v="100888290"/>
    <s v="Recovery"/>
    <n v="200"/>
    <s v="AHY"/>
    <s v="M"/>
    <n v="9"/>
    <n v="2008"/>
    <n v="2008"/>
    <n v="4"/>
    <x v="0"/>
    <s v="4B"/>
    <x v="6"/>
    <n v="1"/>
    <n v="7"/>
    <x v="0"/>
    <x v="0"/>
  </r>
  <r>
    <n v="327"/>
    <n v="100888291"/>
    <s v="Recovery"/>
    <n v="200"/>
    <s v="AHY"/>
    <s v="F"/>
    <n v="12"/>
    <n v="2007"/>
    <n v="2007"/>
    <n v="3"/>
    <x v="0"/>
    <s v="3B"/>
    <x v="1"/>
    <n v="1"/>
    <n v="7"/>
    <x v="0"/>
    <x v="0"/>
  </r>
  <r>
    <n v="328"/>
    <n v="100888292"/>
    <s v="Recovery"/>
    <n v="200"/>
    <s v="AHY"/>
    <s v="M"/>
    <n v="2"/>
    <n v="2006"/>
    <n v="2005"/>
    <n v="1"/>
    <x v="0"/>
    <s v="1B"/>
    <x v="0"/>
    <n v="1"/>
    <n v="7"/>
    <x v="0"/>
    <x v="0"/>
  </r>
  <r>
    <n v="330"/>
    <n v="100888294"/>
    <s v="Recovery"/>
    <n v="200"/>
    <s v="AHY"/>
    <s v="M"/>
    <n v="9"/>
    <n v="2011"/>
    <n v="2011"/>
    <n v="7"/>
    <x v="0"/>
    <s v="7B"/>
    <x v="9"/>
    <n v="1"/>
    <n v="7"/>
    <x v="0"/>
    <x v="0"/>
  </r>
  <r>
    <n v="331"/>
    <n v="100888295"/>
    <s v="Recovery"/>
    <n v="200"/>
    <s v="AHY"/>
    <s v="F"/>
    <n v="1"/>
    <n v="2006"/>
    <n v="2005"/>
    <n v="1"/>
    <x v="0"/>
    <s v="1B"/>
    <x v="0"/>
    <n v="1"/>
    <n v="7"/>
    <x v="0"/>
    <x v="0"/>
  </r>
  <r>
    <n v="337"/>
    <n v="100888301"/>
    <s v="Recovery"/>
    <n v="200"/>
    <s v="AHY"/>
    <s v="F"/>
    <n v="1"/>
    <n v="2010"/>
    <n v="2009"/>
    <n v="5"/>
    <x v="0"/>
    <s v="5B"/>
    <x v="8"/>
    <n v="1"/>
    <n v="7"/>
    <x v="0"/>
    <x v="0"/>
  </r>
  <r>
    <n v="341"/>
    <n v="100888305"/>
    <s v="Recovery"/>
    <n v="200"/>
    <s v="AHY"/>
    <s v="M"/>
    <n v="10"/>
    <n v="2005"/>
    <n v="2005"/>
    <n v="1"/>
    <x v="0"/>
    <s v="1B"/>
    <x v="0"/>
    <n v="1"/>
    <n v="7"/>
    <x v="0"/>
    <x v="0"/>
  </r>
  <r>
    <n v="346"/>
    <n v="100888310"/>
    <s v="Recovery"/>
    <n v="200"/>
    <s v="AHY"/>
    <s v="F"/>
    <n v="1"/>
    <n v="2017"/>
    <n v="2016"/>
    <n v="12"/>
    <x v="0"/>
    <s v="12B"/>
    <x v="12"/>
    <n v="1"/>
    <n v="7"/>
    <x v="0"/>
    <x v="0"/>
  </r>
  <r>
    <n v="347"/>
    <n v="100888311"/>
    <s v="Recovery"/>
    <n v="200"/>
    <s v="AHY"/>
    <s v="F"/>
    <n v="1"/>
    <n v="2008"/>
    <n v="2007"/>
    <n v="3"/>
    <x v="0"/>
    <s v="3B"/>
    <x v="1"/>
    <n v="1"/>
    <n v="7"/>
    <x v="0"/>
    <x v="0"/>
  </r>
  <r>
    <n v="352"/>
    <n v="100888316"/>
    <s v="Recovery"/>
    <n v="200"/>
    <s v="AHY"/>
    <s v="F"/>
    <n v="1"/>
    <n v="2012"/>
    <n v="2011"/>
    <n v="7"/>
    <x v="0"/>
    <s v="7B"/>
    <x v="9"/>
    <n v="1"/>
    <n v="7"/>
    <x v="0"/>
    <x v="0"/>
  </r>
  <r>
    <n v="359"/>
    <n v="100888323"/>
    <s v="Recovery"/>
    <n v="200"/>
    <s v="AHY"/>
    <s v="F"/>
    <n v="9"/>
    <n v="2008"/>
    <n v="2008"/>
    <n v="4"/>
    <x v="0"/>
    <s v="4B"/>
    <x v="6"/>
    <n v="1"/>
    <n v="7"/>
    <x v="0"/>
    <x v="0"/>
  </r>
  <r>
    <n v="361"/>
    <n v="100888325"/>
    <s v="Recovery"/>
    <n v="200"/>
    <s v="AHY"/>
    <s v="M"/>
    <n v="1"/>
    <n v="2007"/>
    <n v="2006"/>
    <n v="2"/>
    <x v="0"/>
    <s v="2B"/>
    <x v="5"/>
    <n v="1"/>
    <n v="7"/>
    <x v="0"/>
    <x v="0"/>
  </r>
  <r>
    <n v="363"/>
    <n v="100888327"/>
    <s v="Recovery"/>
    <n v="200"/>
    <s v="AHY"/>
    <s v="M"/>
    <n v="1"/>
    <n v="2006"/>
    <n v="2005"/>
    <n v="1"/>
    <x v="0"/>
    <s v="1B"/>
    <x v="0"/>
    <n v="1"/>
    <n v="7"/>
    <x v="0"/>
    <x v="0"/>
  </r>
  <r>
    <n v="364"/>
    <n v="100888328"/>
    <s v="Recovery"/>
    <n v="200"/>
    <s v="AHY"/>
    <s v="M"/>
    <n v="9"/>
    <n v="2009"/>
    <n v="2009"/>
    <n v="5"/>
    <x v="0"/>
    <s v="5B"/>
    <x v="8"/>
    <n v="1"/>
    <n v="7"/>
    <x v="0"/>
    <x v="0"/>
  </r>
  <r>
    <n v="370"/>
    <n v="100888334"/>
    <s v="Recovery"/>
    <n v="200"/>
    <s v="AHY"/>
    <s v="M"/>
    <n v="10"/>
    <n v="2005"/>
    <n v="2005"/>
    <n v="1"/>
    <x v="0"/>
    <s v="1B"/>
    <x v="0"/>
    <n v="1"/>
    <n v="7"/>
    <x v="0"/>
    <x v="0"/>
  </r>
  <r>
    <n v="371"/>
    <n v="100888335"/>
    <s v="Recovery"/>
    <n v="200"/>
    <s v="AHY"/>
    <s v="M"/>
    <n v="9"/>
    <n v="2007"/>
    <n v="2007"/>
    <n v="3"/>
    <x v="0"/>
    <s v="3B"/>
    <x v="1"/>
    <n v="1"/>
    <n v="7"/>
    <x v="0"/>
    <x v="0"/>
  </r>
  <r>
    <n v="375"/>
    <n v="100888339"/>
    <s v="Recovery"/>
    <n v="200"/>
    <s v="AHY"/>
    <s v="M"/>
    <n v="12"/>
    <n v="2011"/>
    <n v="2011"/>
    <n v="7"/>
    <x v="0"/>
    <s v="7B"/>
    <x v="9"/>
    <n v="1"/>
    <n v="7"/>
    <x v="0"/>
    <x v="0"/>
  </r>
  <r>
    <n v="377"/>
    <n v="100888341"/>
    <s v="Recovery"/>
    <n v="200"/>
    <s v="AHY"/>
    <s v="M"/>
    <n v="1"/>
    <n v="2006"/>
    <n v="2005"/>
    <n v="1"/>
    <x v="0"/>
    <s v="1B"/>
    <x v="0"/>
    <n v="1"/>
    <n v="7"/>
    <x v="0"/>
    <x v="0"/>
  </r>
  <r>
    <n v="383"/>
    <n v="100888347"/>
    <s v="Recovery"/>
    <n v="200"/>
    <s v="AHY"/>
    <s v="F"/>
    <n v="10"/>
    <n v="2005"/>
    <n v="2005"/>
    <n v="1"/>
    <x v="0"/>
    <s v="1B"/>
    <x v="0"/>
    <n v="1"/>
    <n v="7"/>
    <x v="0"/>
    <x v="0"/>
  </r>
  <r>
    <n v="387"/>
    <n v="100888351"/>
    <s v="Recovery"/>
    <n v="200"/>
    <s v="AHY"/>
    <s v="M"/>
    <n v="9"/>
    <n v="2008"/>
    <n v="2008"/>
    <n v="4"/>
    <x v="0"/>
    <s v="4B"/>
    <x v="6"/>
    <n v="1"/>
    <n v="7"/>
    <x v="0"/>
    <x v="0"/>
  </r>
  <r>
    <n v="390"/>
    <n v="100888354"/>
    <s v="Recovery"/>
    <n v="200"/>
    <s v="AHY"/>
    <s v="M"/>
    <n v="1"/>
    <n v="2009"/>
    <n v="2008"/>
    <n v="4"/>
    <x v="0"/>
    <s v="4B"/>
    <x v="6"/>
    <n v="1"/>
    <n v="7"/>
    <x v="0"/>
    <x v="0"/>
  </r>
  <r>
    <n v="391"/>
    <n v="100888355"/>
    <s v="Recovery"/>
    <n v="200"/>
    <s v="AHY"/>
    <s v="M"/>
    <n v="10"/>
    <n v="2005"/>
    <n v="2005"/>
    <n v="1"/>
    <x v="0"/>
    <s v="1B"/>
    <x v="0"/>
    <n v="1"/>
    <n v="7"/>
    <x v="0"/>
    <x v="0"/>
  </r>
  <r>
    <n v="394"/>
    <n v="100888358"/>
    <s v="Recovery"/>
    <n v="200"/>
    <s v="AHY"/>
    <s v="M"/>
    <n v="10"/>
    <n v="2005"/>
    <n v="2005"/>
    <n v="1"/>
    <x v="0"/>
    <s v="1B"/>
    <x v="0"/>
    <n v="1"/>
    <n v="7"/>
    <x v="0"/>
    <x v="0"/>
  </r>
  <r>
    <n v="403"/>
    <n v="100888367"/>
    <s v="Recovery"/>
    <n v="200"/>
    <s v="AHY"/>
    <s v="F"/>
    <n v="9"/>
    <n v="2008"/>
    <n v="2008"/>
    <n v="4"/>
    <x v="0"/>
    <s v="4B"/>
    <x v="6"/>
    <n v="1"/>
    <n v="7"/>
    <x v="0"/>
    <x v="0"/>
  </r>
  <r>
    <n v="405"/>
    <n v="100888369"/>
    <s v="Recovery"/>
    <n v="200"/>
    <s v="AHY"/>
    <s v="F"/>
    <n v="1"/>
    <n v="2013"/>
    <n v="2012"/>
    <n v="8"/>
    <x v="0"/>
    <s v="8B"/>
    <x v="3"/>
    <n v="1"/>
    <n v="7"/>
    <x v="0"/>
    <x v="0"/>
  </r>
  <r>
    <n v="407"/>
    <n v="100888371"/>
    <s v="Recovery"/>
    <n v="200"/>
    <s v="AHY"/>
    <s v="F"/>
    <n v="9"/>
    <n v="2007"/>
    <n v="2007"/>
    <n v="3"/>
    <x v="0"/>
    <s v="3B"/>
    <x v="1"/>
    <n v="1"/>
    <n v="7"/>
    <x v="0"/>
    <x v="0"/>
  </r>
  <r>
    <n v="411"/>
    <n v="100888375"/>
    <s v="Recovery"/>
    <n v="200"/>
    <s v="AHY"/>
    <s v="M"/>
    <n v="9"/>
    <n v="2008"/>
    <n v="2008"/>
    <n v="4"/>
    <x v="0"/>
    <s v="4B"/>
    <x v="6"/>
    <n v="1"/>
    <n v="7"/>
    <x v="0"/>
    <x v="0"/>
  </r>
  <r>
    <n v="414"/>
    <n v="100888378"/>
    <s v="Recovery"/>
    <n v="200"/>
    <s v="AHY"/>
    <s v="F"/>
    <n v="9"/>
    <n v="2007"/>
    <n v="2007"/>
    <n v="3"/>
    <x v="0"/>
    <s v="3B"/>
    <x v="1"/>
    <n v="1"/>
    <n v="7"/>
    <x v="0"/>
    <x v="0"/>
  </r>
  <r>
    <n v="419"/>
    <n v="100888383"/>
    <s v="Recovery"/>
    <n v="200"/>
    <s v="AHY"/>
    <s v="M"/>
    <n v="1"/>
    <n v="2006"/>
    <n v="2005"/>
    <n v="1"/>
    <x v="0"/>
    <s v="1B"/>
    <x v="0"/>
    <n v="1"/>
    <n v="7"/>
    <x v="0"/>
    <x v="0"/>
  </r>
  <r>
    <n v="425"/>
    <n v="100888389"/>
    <s v="Recovery"/>
    <n v="200"/>
    <s v="AHY"/>
    <s v="M"/>
    <n v="1"/>
    <n v="2007"/>
    <n v="2006"/>
    <n v="2"/>
    <x v="0"/>
    <s v="2B"/>
    <x v="5"/>
    <n v="1"/>
    <n v="7"/>
    <x v="0"/>
    <x v="0"/>
  </r>
  <r>
    <n v="428"/>
    <n v="100888392"/>
    <s v="Recovery"/>
    <n v="200"/>
    <s v="AHY"/>
    <s v="F"/>
    <n v="12"/>
    <n v="2013"/>
    <n v="2013"/>
    <n v="9"/>
    <x v="0"/>
    <s v="9B"/>
    <x v="4"/>
    <n v="1"/>
    <n v="7"/>
    <x v="0"/>
    <x v="0"/>
  </r>
  <r>
    <n v="430"/>
    <n v="100888394"/>
    <s v="Recovery"/>
    <n v="200"/>
    <s v="AHY"/>
    <s v="F"/>
    <n v="1"/>
    <n v="2006"/>
    <n v="2005"/>
    <n v="1"/>
    <x v="0"/>
    <s v="1B"/>
    <x v="0"/>
    <n v="1"/>
    <n v="7"/>
    <x v="0"/>
    <x v="0"/>
  </r>
  <r>
    <n v="435"/>
    <n v="100888399"/>
    <s v="Recovery"/>
    <n v="200"/>
    <s v="AHY"/>
    <s v="F"/>
    <n v="10"/>
    <n v="2007"/>
    <n v="2007"/>
    <n v="3"/>
    <x v="0"/>
    <s v="3B"/>
    <x v="1"/>
    <n v="1"/>
    <n v="7"/>
    <x v="0"/>
    <x v="0"/>
  </r>
  <r>
    <n v="441"/>
    <n v="100888405"/>
    <s v="Recovery"/>
    <n v="200"/>
    <s v="AHY"/>
    <s v="M"/>
    <n v="9"/>
    <n v="2007"/>
    <n v="2007"/>
    <n v="3"/>
    <x v="0"/>
    <s v="3B"/>
    <x v="1"/>
    <n v="1"/>
    <n v="7"/>
    <x v="0"/>
    <x v="0"/>
  </r>
  <r>
    <n v="444"/>
    <n v="100888408"/>
    <s v="Recovery"/>
    <n v="200"/>
    <s v="AHY"/>
    <s v="M"/>
    <n v="1"/>
    <n v="2006"/>
    <n v="2005"/>
    <n v="1"/>
    <x v="0"/>
    <s v="1B"/>
    <x v="0"/>
    <n v="1"/>
    <n v="7"/>
    <x v="0"/>
    <x v="0"/>
  </r>
  <r>
    <n v="445"/>
    <n v="100888409"/>
    <s v="Recovery"/>
    <n v="200"/>
    <s v="AHY"/>
    <s v="F"/>
    <n v="12"/>
    <n v="2008"/>
    <n v="2008"/>
    <n v="4"/>
    <x v="0"/>
    <s v="4B"/>
    <x v="6"/>
    <n v="1"/>
    <n v="7"/>
    <x v="0"/>
    <x v="0"/>
  </r>
  <r>
    <n v="447"/>
    <n v="100888411"/>
    <s v="Recovery"/>
    <n v="200"/>
    <s v="AHY"/>
    <s v="F"/>
    <n v="1"/>
    <n v="2007"/>
    <n v="2006"/>
    <n v="2"/>
    <x v="0"/>
    <s v="2B"/>
    <x v="5"/>
    <n v="1"/>
    <n v="7"/>
    <x v="0"/>
    <x v="0"/>
  </r>
  <r>
    <n v="449"/>
    <n v="100888413"/>
    <s v="Recovery"/>
    <n v="200"/>
    <s v="AHY"/>
    <s v="F"/>
    <n v="2"/>
    <n v="2006"/>
    <n v="2005"/>
    <n v="1"/>
    <x v="0"/>
    <s v="1B"/>
    <x v="0"/>
    <n v="1"/>
    <n v="7"/>
    <x v="0"/>
    <x v="0"/>
  </r>
  <r>
    <n v="450"/>
    <n v="100888414"/>
    <s v="Recovery"/>
    <n v="200"/>
    <s v="AHY"/>
    <s v="M"/>
    <n v="9"/>
    <n v="2006"/>
    <n v="2006"/>
    <n v="2"/>
    <x v="0"/>
    <s v="2B"/>
    <x v="5"/>
    <n v="1"/>
    <n v="50"/>
    <x v="3"/>
    <x v="1"/>
  </r>
  <r>
    <n v="461"/>
    <n v="100888425"/>
    <s v="Recovery"/>
    <n v="200"/>
    <s v="AHY"/>
    <s v="F"/>
    <n v="2"/>
    <n v="2007"/>
    <n v="2006"/>
    <n v="2"/>
    <x v="0"/>
    <s v="2B"/>
    <x v="5"/>
    <n v="1"/>
    <n v="7"/>
    <x v="0"/>
    <x v="0"/>
  </r>
  <r>
    <n v="462"/>
    <n v="100888426"/>
    <s v="Recovery"/>
    <n v="200"/>
    <s v="AHY"/>
    <s v="M"/>
    <n v="9"/>
    <n v="2007"/>
    <n v="2007"/>
    <n v="3"/>
    <x v="0"/>
    <s v="3B"/>
    <x v="1"/>
    <n v="1"/>
    <n v="7"/>
    <x v="0"/>
    <x v="0"/>
  </r>
  <r>
    <n v="465"/>
    <n v="100888429"/>
    <s v="Recovery"/>
    <n v="200"/>
    <s v="AHY"/>
    <s v="M"/>
    <n v="10"/>
    <n v="2006"/>
    <n v="2006"/>
    <n v="2"/>
    <x v="0"/>
    <s v="2B"/>
    <x v="5"/>
    <n v="1"/>
    <n v="7"/>
    <x v="0"/>
    <x v="0"/>
  </r>
  <r>
    <n v="467"/>
    <n v="100888431"/>
    <s v="Recovery"/>
    <n v="200"/>
    <s v="AHY"/>
    <s v="M"/>
    <n v="1"/>
    <n v="2010"/>
    <n v="2009"/>
    <n v="5"/>
    <x v="0"/>
    <s v="5B"/>
    <x v="8"/>
    <n v="1"/>
    <n v="7"/>
    <x v="0"/>
    <x v="0"/>
  </r>
  <r>
    <n v="468"/>
    <n v="100888432"/>
    <s v="Recovery"/>
    <n v="200"/>
    <s v="AHY"/>
    <s v="F"/>
    <n v="9"/>
    <n v="2014"/>
    <n v="2014"/>
    <n v="10"/>
    <x v="0"/>
    <s v="10B"/>
    <x v="7"/>
    <n v="1"/>
    <n v="7"/>
    <x v="0"/>
    <x v="0"/>
  </r>
  <r>
    <n v="469"/>
    <n v="100888433"/>
    <s v="Recovery"/>
    <n v="200"/>
    <s v="AHY"/>
    <s v="M"/>
    <n v="10"/>
    <n v="2006"/>
    <n v="2006"/>
    <n v="2"/>
    <x v="0"/>
    <s v="2B"/>
    <x v="5"/>
    <n v="1"/>
    <n v="7"/>
    <x v="0"/>
    <x v="0"/>
  </r>
  <r>
    <n v="484"/>
    <n v="100888448"/>
    <s v="Recovery"/>
    <n v="200"/>
    <s v="AHY"/>
    <s v="M"/>
    <n v="1"/>
    <n v="2007"/>
    <n v="2006"/>
    <n v="2"/>
    <x v="0"/>
    <s v="2B"/>
    <x v="5"/>
    <n v="1"/>
    <n v="7"/>
    <x v="0"/>
    <x v="0"/>
  </r>
  <r>
    <n v="486"/>
    <n v="100888450"/>
    <s v="Recovery"/>
    <n v="200"/>
    <s v="AHY"/>
    <s v="M"/>
    <n v="12"/>
    <n v="2007"/>
    <n v="2007"/>
    <n v="3"/>
    <x v="0"/>
    <s v="3B"/>
    <x v="1"/>
    <n v="1"/>
    <n v="7"/>
    <x v="0"/>
    <x v="0"/>
  </r>
  <r>
    <n v="487"/>
    <n v="100888451"/>
    <s v="Recovery"/>
    <n v="200"/>
    <s v="AHY"/>
    <s v="M"/>
    <n v="1"/>
    <n v="2010"/>
    <n v="2009"/>
    <n v="5"/>
    <x v="0"/>
    <s v="5B"/>
    <x v="8"/>
    <n v="1"/>
    <n v="7"/>
    <x v="0"/>
    <x v="0"/>
  </r>
  <r>
    <n v="489"/>
    <n v="100888453"/>
    <s v="Recovery"/>
    <n v="200"/>
    <s v="AHY"/>
    <s v="F"/>
    <n v="12"/>
    <n v="2007"/>
    <n v="2007"/>
    <n v="3"/>
    <x v="0"/>
    <s v="3B"/>
    <x v="1"/>
    <n v="1"/>
    <n v="7"/>
    <x v="0"/>
    <x v="0"/>
  </r>
  <r>
    <n v="490"/>
    <n v="100888454"/>
    <s v="Recovery"/>
    <n v="200"/>
    <s v="AHY"/>
    <s v="F"/>
    <n v="1"/>
    <n v="2012"/>
    <n v="2011"/>
    <n v="7"/>
    <x v="0"/>
    <s v="7B"/>
    <x v="9"/>
    <n v="1"/>
    <n v="7"/>
    <x v="0"/>
    <x v="0"/>
  </r>
  <r>
    <n v="495"/>
    <n v="100888459"/>
    <s v="Recovery"/>
    <n v="200"/>
    <s v="AHY"/>
    <s v="M"/>
    <n v="1"/>
    <n v="2007"/>
    <n v="2006"/>
    <n v="2"/>
    <x v="0"/>
    <s v="2B"/>
    <x v="5"/>
    <n v="1"/>
    <n v="7"/>
    <x v="0"/>
    <x v="0"/>
  </r>
  <r>
    <n v="498"/>
    <n v="100888462"/>
    <s v="Recovery"/>
    <n v="200"/>
    <s v="AHY"/>
    <s v="F"/>
    <n v="1"/>
    <n v="2012"/>
    <n v="2011"/>
    <n v="7"/>
    <x v="0"/>
    <s v="7B"/>
    <x v="9"/>
    <n v="1"/>
    <n v="7"/>
    <x v="0"/>
    <x v="0"/>
  </r>
  <r>
    <n v="499"/>
    <n v="100888463"/>
    <s v="Recovery"/>
    <n v="200"/>
    <s v="AHY"/>
    <s v="M"/>
    <n v="9"/>
    <n v="2006"/>
    <n v="2006"/>
    <n v="2"/>
    <x v="0"/>
    <s v="2B"/>
    <x v="5"/>
    <n v="1"/>
    <n v="7"/>
    <x v="0"/>
    <x v="0"/>
  </r>
  <r>
    <n v="502"/>
    <n v="100888466"/>
    <s v="Recovery"/>
    <n v="200"/>
    <s v="AHY"/>
    <s v="M"/>
    <n v="12"/>
    <n v="2017"/>
    <n v="2017"/>
    <n v="13"/>
    <x v="0"/>
    <s v="13B"/>
    <x v="13"/>
    <n v="1"/>
    <n v="7"/>
    <x v="0"/>
    <x v="0"/>
  </r>
  <r>
    <n v="503"/>
    <n v="100888467"/>
    <s v="Recovery"/>
    <n v="200"/>
    <s v="AHY"/>
    <s v="M"/>
    <n v="1"/>
    <n v="2009"/>
    <n v="2008"/>
    <n v="4"/>
    <x v="0"/>
    <s v="4B"/>
    <x v="6"/>
    <n v="1"/>
    <n v="7"/>
    <x v="0"/>
    <x v="0"/>
  </r>
  <r>
    <n v="510"/>
    <n v="100888474"/>
    <s v="Recovery"/>
    <n v="200"/>
    <s v="AHY"/>
    <s v="F"/>
    <n v="9"/>
    <n v="2007"/>
    <n v="2007"/>
    <n v="3"/>
    <x v="0"/>
    <s v="3B"/>
    <x v="1"/>
    <n v="1"/>
    <n v="7"/>
    <x v="0"/>
    <x v="0"/>
  </r>
  <r>
    <n v="517"/>
    <n v="100888481"/>
    <s v="Recovery"/>
    <n v="200"/>
    <s v="AHY"/>
    <s v="M"/>
    <n v="10"/>
    <n v="2005"/>
    <n v="2005"/>
    <n v="1"/>
    <x v="0"/>
    <s v="1B"/>
    <x v="0"/>
    <n v="1"/>
    <n v="7"/>
    <x v="0"/>
    <x v="0"/>
  </r>
  <r>
    <n v="518"/>
    <n v="100888482"/>
    <s v="Recovery"/>
    <n v="200"/>
    <s v="AHY"/>
    <s v="F"/>
    <n v="1"/>
    <n v="2006"/>
    <n v="2005"/>
    <n v="1"/>
    <x v="0"/>
    <s v="1B"/>
    <x v="0"/>
    <n v="1"/>
    <n v="7"/>
    <x v="0"/>
    <x v="0"/>
  </r>
  <r>
    <n v="528"/>
    <n v="100888492"/>
    <s v="Recovery"/>
    <n v="200"/>
    <s v="AHY"/>
    <s v="F"/>
    <n v="2"/>
    <n v="2008"/>
    <n v="2007"/>
    <n v="3"/>
    <x v="0"/>
    <s v="3B"/>
    <x v="1"/>
    <n v="1"/>
    <n v="7"/>
    <x v="0"/>
    <x v="0"/>
  </r>
  <r>
    <n v="529"/>
    <n v="100888493"/>
    <s v="Recovery"/>
    <n v="200"/>
    <s v="AHY"/>
    <s v="F"/>
    <n v="1"/>
    <n v="2007"/>
    <n v="2006"/>
    <n v="2"/>
    <x v="0"/>
    <s v="2B"/>
    <x v="5"/>
    <n v="1"/>
    <n v="7"/>
    <x v="0"/>
    <x v="0"/>
  </r>
  <r>
    <n v="530"/>
    <n v="100888494"/>
    <s v="Recovery"/>
    <n v="200"/>
    <s v="AHY"/>
    <s v="M"/>
    <n v="11"/>
    <n v="2016"/>
    <n v="2016"/>
    <n v="12"/>
    <x v="0"/>
    <s v="12B"/>
    <x v="12"/>
    <n v="1"/>
    <n v="7"/>
    <x v="0"/>
    <x v="0"/>
  </r>
  <r>
    <n v="535"/>
    <n v="100888499"/>
    <s v="Recovery"/>
    <n v="200"/>
    <s v="AHY"/>
    <s v="M"/>
    <n v="2"/>
    <n v="2008"/>
    <n v="2007"/>
    <n v="3"/>
    <x v="0"/>
    <s v="3B"/>
    <x v="1"/>
    <n v="1"/>
    <n v="7"/>
    <x v="0"/>
    <x v="0"/>
  </r>
  <r>
    <n v="536"/>
    <n v="100888500"/>
    <s v="Recovery"/>
    <n v="200"/>
    <s v="AHY"/>
    <s v="F"/>
    <n v="1"/>
    <n v="2014"/>
    <n v="2013"/>
    <n v="9"/>
    <x v="0"/>
    <s v="9B"/>
    <x v="4"/>
    <n v="1"/>
    <n v="7"/>
    <x v="0"/>
    <x v="0"/>
  </r>
  <r>
    <n v="541"/>
    <n v="100888505"/>
    <s v="Recovery"/>
    <n v="200"/>
    <s v="AHY"/>
    <s v="F"/>
    <n v="11"/>
    <n v="2010"/>
    <n v="2010"/>
    <n v="6"/>
    <x v="0"/>
    <s v="6B"/>
    <x v="2"/>
    <n v="1"/>
    <n v="7"/>
    <x v="0"/>
    <x v="0"/>
  </r>
  <r>
    <n v="544"/>
    <n v="100888508"/>
    <s v="Recovery"/>
    <n v="200"/>
    <s v="AHY"/>
    <s v="M"/>
    <n v="1"/>
    <n v="2009"/>
    <n v="2008"/>
    <n v="4"/>
    <x v="0"/>
    <s v="4B"/>
    <x v="6"/>
    <n v="1"/>
    <n v="7"/>
    <x v="0"/>
    <x v="0"/>
  </r>
  <r>
    <n v="546"/>
    <n v="100888510"/>
    <s v="Recovery"/>
    <n v="200"/>
    <s v="AHY"/>
    <s v="M"/>
    <n v="1"/>
    <n v="2010"/>
    <n v="2009"/>
    <n v="5"/>
    <x v="0"/>
    <s v="5B"/>
    <x v="8"/>
    <n v="1"/>
    <n v="7"/>
    <x v="0"/>
    <x v="0"/>
  </r>
  <r>
    <n v="549"/>
    <n v="100888513"/>
    <s v="Recovery"/>
    <n v="200"/>
    <s v="AHY"/>
    <s v="M"/>
    <n v="1"/>
    <n v="2010"/>
    <n v="2009"/>
    <n v="5"/>
    <x v="0"/>
    <s v="5B"/>
    <x v="8"/>
    <n v="1"/>
    <n v="7"/>
    <x v="0"/>
    <x v="0"/>
  </r>
  <r>
    <n v="550"/>
    <n v="100888514"/>
    <s v="Recovery"/>
    <n v="200"/>
    <s v="AHY"/>
    <s v="M"/>
    <n v="1"/>
    <n v="2008"/>
    <n v="2007"/>
    <n v="3"/>
    <x v="0"/>
    <s v="3B"/>
    <x v="1"/>
    <n v="1"/>
    <n v="7"/>
    <x v="0"/>
    <x v="0"/>
  </r>
  <r>
    <n v="555"/>
    <n v="100888519"/>
    <s v="Recovery"/>
    <n v="200"/>
    <s v="AHY"/>
    <s v="F"/>
    <n v="1"/>
    <n v="2009"/>
    <n v="2008"/>
    <n v="4"/>
    <x v="0"/>
    <s v="4B"/>
    <x v="6"/>
    <n v="1"/>
    <n v="7"/>
    <x v="0"/>
    <x v="0"/>
  </r>
  <r>
    <n v="560"/>
    <n v="100888524"/>
    <s v="Recovery"/>
    <n v="200"/>
    <s v="AHY"/>
    <s v="F"/>
    <n v="1"/>
    <n v="2009"/>
    <n v="2008"/>
    <n v="4"/>
    <x v="0"/>
    <s v="4B"/>
    <x v="6"/>
    <n v="1"/>
    <n v="7"/>
    <x v="0"/>
    <x v="0"/>
  </r>
  <r>
    <n v="563"/>
    <n v="100888527"/>
    <s v="Recovery"/>
    <n v="200"/>
    <s v="AHY"/>
    <s v="F"/>
    <n v="12"/>
    <n v="2006"/>
    <n v="2006"/>
    <n v="2"/>
    <x v="0"/>
    <s v="2B"/>
    <x v="5"/>
    <n v="1"/>
    <n v="7"/>
    <x v="0"/>
    <x v="0"/>
  </r>
  <r>
    <n v="570"/>
    <n v="100888534"/>
    <s v="Recovery"/>
    <n v="200"/>
    <s v="AHY"/>
    <s v="M"/>
    <n v="1"/>
    <n v="2012"/>
    <n v="2011"/>
    <n v="7"/>
    <x v="0"/>
    <s v="7B"/>
    <x v="9"/>
    <n v="1"/>
    <n v="7"/>
    <x v="0"/>
    <x v="0"/>
  </r>
  <r>
    <n v="574"/>
    <n v="100888538"/>
    <s v="Recovery"/>
    <n v="200"/>
    <s v="AHY"/>
    <s v="F"/>
    <n v="12"/>
    <n v="2010"/>
    <n v="2010"/>
    <n v="6"/>
    <x v="0"/>
    <s v="6B"/>
    <x v="2"/>
    <n v="1"/>
    <n v="7"/>
    <x v="0"/>
    <x v="0"/>
  </r>
  <r>
    <n v="580"/>
    <n v="100888544"/>
    <s v="Recovery"/>
    <n v="200"/>
    <s v="AHY"/>
    <s v="M"/>
    <n v="9"/>
    <n v="2012"/>
    <n v="2012"/>
    <n v="8"/>
    <x v="0"/>
    <s v="8B"/>
    <x v="3"/>
    <n v="1"/>
    <n v="7"/>
    <x v="0"/>
    <x v="0"/>
  </r>
  <r>
    <n v="581"/>
    <n v="100888545"/>
    <s v="Recovery"/>
    <n v="200"/>
    <s v="AHY"/>
    <s v="F"/>
    <n v="9"/>
    <n v="2015"/>
    <n v="2015"/>
    <n v="11"/>
    <x v="0"/>
    <s v="11B"/>
    <x v="14"/>
    <n v="1"/>
    <n v="7"/>
    <x v="0"/>
    <x v="0"/>
  </r>
  <r>
    <n v="583"/>
    <n v="100888547"/>
    <s v="Recovery"/>
    <n v="200"/>
    <s v="AHY"/>
    <s v="F"/>
    <n v="9"/>
    <n v="2009"/>
    <n v="2009"/>
    <n v="5"/>
    <x v="0"/>
    <s v="5B"/>
    <x v="8"/>
    <n v="1"/>
    <n v="7"/>
    <x v="0"/>
    <x v="0"/>
  </r>
  <r>
    <n v="589"/>
    <n v="100888553"/>
    <s v="Recovery"/>
    <n v="200"/>
    <s v="AHY"/>
    <s v="M"/>
    <n v="2"/>
    <n v="2008"/>
    <n v="2007"/>
    <n v="3"/>
    <x v="0"/>
    <s v="3B"/>
    <x v="1"/>
    <n v="1"/>
    <n v="7"/>
    <x v="0"/>
    <x v="0"/>
  </r>
  <r>
    <n v="594"/>
    <n v="100888558"/>
    <s v="Recovery"/>
    <n v="200"/>
    <s v="AHY"/>
    <s v="F"/>
    <n v="2"/>
    <n v="2008"/>
    <n v="2007"/>
    <n v="3"/>
    <x v="0"/>
    <s v="3B"/>
    <x v="1"/>
    <n v="1"/>
    <n v="7"/>
    <x v="0"/>
    <x v="0"/>
  </r>
  <r>
    <n v="596"/>
    <n v="100888560"/>
    <s v="Recovery"/>
    <n v="200"/>
    <s v="AHY"/>
    <s v="M"/>
    <n v="9"/>
    <n v="2007"/>
    <n v="2007"/>
    <n v="3"/>
    <x v="0"/>
    <s v="3B"/>
    <x v="1"/>
    <n v="1"/>
    <n v="7"/>
    <x v="0"/>
    <x v="0"/>
  </r>
  <r>
    <n v="609"/>
    <n v="100888573"/>
    <s v="Recovery"/>
    <n v="200"/>
    <s v="AHY"/>
    <s v="M"/>
    <n v="1"/>
    <n v="2012"/>
    <n v="2011"/>
    <n v="7"/>
    <x v="0"/>
    <s v="7B"/>
    <x v="9"/>
    <n v="1"/>
    <n v="7"/>
    <x v="0"/>
    <x v="0"/>
  </r>
  <r>
    <n v="624"/>
    <n v="100888588"/>
    <s v="Recovery"/>
    <n v="200"/>
    <s v="AHY"/>
    <s v="M"/>
    <n v="1"/>
    <n v="2008"/>
    <n v="2007"/>
    <n v="3"/>
    <x v="0"/>
    <s v="3B"/>
    <x v="1"/>
    <n v="1"/>
    <n v="7"/>
    <x v="0"/>
    <x v="0"/>
  </r>
  <r>
    <n v="633"/>
    <n v="100888597"/>
    <s v="Recovery"/>
    <n v="200"/>
    <s v="AHY"/>
    <s v="M"/>
    <n v="12"/>
    <n v="2010"/>
    <n v="2010"/>
    <n v="6"/>
    <x v="0"/>
    <s v="6B"/>
    <x v="2"/>
    <n v="1"/>
    <n v="7"/>
    <x v="0"/>
    <x v="0"/>
  </r>
  <r>
    <n v="634"/>
    <n v="100888598"/>
    <s v="Recovery"/>
    <n v="200"/>
    <s v="AHY"/>
    <s v="M"/>
    <n v="1"/>
    <n v="2007"/>
    <n v="2006"/>
    <n v="2"/>
    <x v="0"/>
    <s v="2B"/>
    <x v="5"/>
    <n v="1"/>
    <n v="7"/>
    <x v="0"/>
    <x v="0"/>
  </r>
  <r>
    <n v="638"/>
    <n v="100888602"/>
    <s v="Recovery"/>
    <n v="200"/>
    <s v="AHY"/>
    <s v="M"/>
    <n v="9"/>
    <n v="2008"/>
    <n v="2008"/>
    <n v="4"/>
    <x v="0"/>
    <s v="4B"/>
    <x v="6"/>
    <n v="1"/>
    <n v="7"/>
    <x v="0"/>
    <x v="0"/>
  </r>
  <r>
    <n v="640"/>
    <n v="100888604"/>
    <s v="Recovery"/>
    <n v="200"/>
    <s v="AHY"/>
    <s v="F"/>
    <n v="10"/>
    <n v="2005"/>
    <n v="2005"/>
    <n v="1"/>
    <x v="0"/>
    <s v="1B"/>
    <x v="0"/>
    <n v="1"/>
    <n v="7"/>
    <x v="0"/>
    <x v="0"/>
  </r>
  <r>
    <n v="642"/>
    <n v="100888606"/>
    <s v="Recovery"/>
    <n v="200"/>
    <s v="AHY"/>
    <s v="M"/>
    <n v="10"/>
    <n v="2005"/>
    <n v="2005"/>
    <n v="1"/>
    <x v="0"/>
    <s v="1B"/>
    <x v="0"/>
    <n v="1"/>
    <n v="7"/>
    <x v="0"/>
    <x v="0"/>
  </r>
  <r>
    <n v="650"/>
    <n v="100888614"/>
    <s v="Recovery"/>
    <n v="200"/>
    <s v="AHY"/>
    <s v="M"/>
    <n v="2"/>
    <n v="2007"/>
    <n v="2006"/>
    <n v="2"/>
    <x v="0"/>
    <s v="2B"/>
    <x v="5"/>
    <n v="1"/>
    <n v="7"/>
    <x v="0"/>
    <x v="0"/>
  </r>
  <r>
    <n v="654"/>
    <n v="100888618"/>
    <s v="Recovery"/>
    <n v="200"/>
    <s v="AHY"/>
    <s v="F"/>
    <n v="9"/>
    <n v="2007"/>
    <n v="2007"/>
    <n v="3"/>
    <x v="0"/>
    <s v="3B"/>
    <x v="1"/>
    <n v="1"/>
    <n v="7"/>
    <x v="0"/>
    <x v="0"/>
  </r>
  <r>
    <n v="663"/>
    <n v="100888627"/>
    <s v="Recovery"/>
    <n v="200"/>
    <s v="AHY"/>
    <s v="F"/>
    <n v="2"/>
    <n v="2006"/>
    <n v="2005"/>
    <n v="1"/>
    <x v="0"/>
    <s v="1B"/>
    <x v="0"/>
    <n v="1"/>
    <n v="7"/>
    <x v="0"/>
    <x v="0"/>
  </r>
  <r>
    <n v="664"/>
    <n v="100888628"/>
    <s v="Recovery"/>
    <n v="200"/>
    <s v="AHY"/>
    <s v="F"/>
    <n v="12"/>
    <n v="2010"/>
    <n v="2010"/>
    <n v="6"/>
    <x v="0"/>
    <s v="6B"/>
    <x v="2"/>
    <n v="1"/>
    <n v="7"/>
    <x v="0"/>
    <x v="0"/>
  </r>
  <r>
    <n v="665"/>
    <n v="100888629"/>
    <s v="Recovery"/>
    <n v="200"/>
    <s v="AHY"/>
    <s v="M"/>
    <n v="9"/>
    <n v="2007"/>
    <n v="2007"/>
    <n v="3"/>
    <x v="0"/>
    <s v="3B"/>
    <x v="1"/>
    <n v="1"/>
    <n v="7"/>
    <x v="0"/>
    <x v="0"/>
  </r>
  <r>
    <n v="666"/>
    <n v="100888630"/>
    <s v="Recovery"/>
    <n v="200"/>
    <s v="AHY"/>
    <s v="M"/>
    <n v="10"/>
    <n v="2005"/>
    <n v="2005"/>
    <n v="1"/>
    <x v="0"/>
    <s v="1B"/>
    <x v="0"/>
    <n v="1"/>
    <n v="7"/>
    <x v="0"/>
    <x v="0"/>
  </r>
  <r>
    <n v="668"/>
    <n v="100888632"/>
    <s v="Recovery"/>
    <n v="200"/>
    <s v="AHY"/>
    <s v="F"/>
    <n v="9"/>
    <n v="2006"/>
    <n v="2006"/>
    <n v="2"/>
    <x v="0"/>
    <s v="2B"/>
    <x v="5"/>
    <n v="1"/>
    <n v="7"/>
    <x v="0"/>
    <x v="0"/>
  </r>
  <r>
    <n v="672"/>
    <n v="100888636"/>
    <s v="Recovery"/>
    <n v="200"/>
    <s v="AHY"/>
    <s v="F"/>
    <n v="12"/>
    <n v="2015"/>
    <n v="2015"/>
    <n v="11"/>
    <x v="0"/>
    <s v="11B"/>
    <x v="14"/>
    <n v="1"/>
    <n v="7"/>
    <x v="0"/>
    <x v="0"/>
  </r>
  <r>
    <n v="678"/>
    <n v="100888642"/>
    <s v="Recovery"/>
    <n v="200"/>
    <s v="AHY"/>
    <s v="M"/>
    <n v="1"/>
    <n v="2008"/>
    <n v="2007"/>
    <n v="3"/>
    <x v="0"/>
    <s v="3B"/>
    <x v="1"/>
    <n v="1"/>
    <n v="7"/>
    <x v="0"/>
    <x v="0"/>
  </r>
  <r>
    <n v="680"/>
    <n v="100888644"/>
    <s v="Recovery"/>
    <n v="200"/>
    <s v="AHY"/>
    <s v="M"/>
    <n v="1"/>
    <n v="2008"/>
    <n v="2007"/>
    <n v="3"/>
    <x v="0"/>
    <s v="3B"/>
    <x v="1"/>
    <n v="1"/>
    <n v="7"/>
    <x v="0"/>
    <x v="0"/>
  </r>
  <r>
    <n v="682"/>
    <n v="100888646"/>
    <s v="Recovery"/>
    <n v="200"/>
    <s v="AHY"/>
    <s v="M"/>
    <n v="10"/>
    <n v="2005"/>
    <n v="2005"/>
    <n v="1"/>
    <x v="0"/>
    <s v="1B"/>
    <x v="0"/>
    <n v="1"/>
    <n v="7"/>
    <x v="0"/>
    <x v="0"/>
  </r>
  <r>
    <n v="683"/>
    <n v="100888647"/>
    <s v="Recovery"/>
    <n v="200"/>
    <s v="AHY"/>
    <s v="F"/>
    <n v="9"/>
    <n v="2007"/>
    <n v="2007"/>
    <n v="3"/>
    <x v="0"/>
    <s v="3B"/>
    <x v="1"/>
    <n v="1"/>
    <n v="7"/>
    <x v="0"/>
    <x v="0"/>
  </r>
  <r>
    <n v="684"/>
    <n v="100888648"/>
    <s v="Recovery"/>
    <n v="200"/>
    <s v="HY"/>
    <s v="M"/>
    <n v="2"/>
    <n v="2006"/>
    <n v="2005"/>
    <n v="1"/>
    <x v="0"/>
    <s v="1B"/>
    <x v="0"/>
    <n v="1"/>
    <n v="7"/>
    <x v="0"/>
    <x v="0"/>
  </r>
  <r>
    <n v="697"/>
    <n v="100888661"/>
    <s v="Recovery"/>
    <n v="200"/>
    <s v="AHY"/>
    <s v="F"/>
    <n v="10"/>
    <n v="2005"/>
    <n v="2005"/>
    <n v="1"/>
    <x v="0"/>
    <s v="1B"/>
    <x v="0"/>
    <n v="1"/>
    <n v="7"/>
    <x v="0"/>
    <x v="0"/>
  </r>
  <r>
    <n v="699"/>
    <n v="100888663"/>
    <s v="Recovery"/>
    <n v="200"/>
    <s v="AHY"/>
    <s v="F"/>
    <n v="1"/>
    <n v="2012"/>
    <n v="2011"/>
    <n v="7"/>
    <x v="0"/>
    <s v="7B"/>
    <x v="9"/>
    <n v="1"/>
    <n v="7"/>
    <x v="0"/>
    <x v="0"/>
  </r>
  <r>
    <n v="704"/>
    <n v="100888668"/>
    <s v="Recovery"/>
    <n v="200"/>
    <s v="AHY"/>
    <s v="F"/>
    <n v="1"/>
    <n v="2007"/>
    <n v="2006"/>
    <n v="2"/>
    <x v="0"/>
    <s v="2B"/>
    <x v="5"/>
    <n v="1"/>
    <n v="7"/>
    <x v="0"/>
    <x v="0"/>
  </r>
  <r>
    <n v="708"/>
    <n v="100888672"/>
    <s v="Recovery"/>
    <n v="200"/>
    <s v="AHY"/>
    <s v="M"/>
    <n v="2"/>
    <n v="2006"/>
    <n v="2005"/>
    <n v="1"/>
    <x v="0"/>
    <s v="1B"/>
    <x v="0"/>
    <n v="1"/>
    <n v="7"/>
    <x v="0"/>
    <x v="0"/>
  </r>
  <r>
    <n v="711"/>
    <n v="100888675"/>
    <s v="Recovery"/>
    <n v="200"/>
    <s v="AHY"/>
    <s v="M"/>
    <n v="9"/>
    <n v="2008"/>
    <n v="2008"/>
    <n v="4"/>
    <x v="0"/>
    <s v="4B"/>
    <x v="6"/>
    <n v="1"/>
    <n v="7"/>
    <x v="0"/>
    <x v="0"/>
  </r>
  <r>
    <n v="714"/>
    <n v="100888678"/>
    <s v="Recovery"/>
    <n v="200"/>
    <s v="AHY"/>
    <s v="F"/>
    <n v="2"/>
    <n v="2006"/>
    <n v="2005"/>
    <n v="1"/>
    <x v="0"/>
    <s v="1B"/>
    <x v="0"/>
    <n v="1"/>
    <n v="7"/>
    <x v="0"/>
    <x v="0"/>
  </r>
  <r>
    <n v="716"/>
    <n v="100888680"/>
    <s v="Recovery"/>
    <n v="200"/>
    <s v="AHY"/>
    <s v="M"/>
    <n v="10"/>
    <n v="2005"/>
    <n v="2005"/>
    <n v="1"/>
    <x v="0"/>
    <s v="1B"/>
    <x v="0"/>
    <n v="1"/>
    <n v="7"/>
    <x v="0"/>
    <x v="0"/>
  </r>
  <r>
    <n v="721"/>
    <n v="100888685"/>
    <s v="Recovery"/>
    <n v="200"/>
    <s v="AHY"/>
    <s v="F"/>
    <n v="9"/>
    <n v="2007"/>
    <n v="2007"/>
    <n v="3"/>
    <x v="0"/>
    <s v="3B"/>
    <x v="1"/>
    <n v="1"/>
    <n v="7"/>
    <x v="0"/>
    <x v="0"/>
  </r>
  <r>
    <n v="735"/>
    <n v="100888699"/>
    <s v="Recovery"/>
    <n v="200"/>
    <s v="AHY"/>
    <s v="F"/>
    <n v="10"/>
    <n v="2006"/>
    <n v="2006"/>
    <n v="2"/>
    <x v="0"/>
    <s v="2B"/>
    <x v="5"/>
    <n v="1"/>
    <n v="7"/>
    <x v="0"/>
    <x v="0"/>
  </r>
  <r>
    <n v="736"/>
    <n v="100888700"/>
    <s v="Recovery"/>
    <n v="200"/>
    <s v="AHY"/>
    <s v="F"/>
    <n v="9"/>
    <n v="2007"/>
    <n v="2007"/>
    <n v="3"/>
    <x v="0"/>
    <s v="3B"/>
    <x v="1"/>
    <n v="1"/>
    <n v="7"/>
    <x v="0"/>
    <x v="0"/>
  </r>
  <r>
    <n v="744"/>
    <n v="100888808"/>
    <s v="Recovery"/>
    <n v="200"/>
    <s v="AHY"/>
    <s v="M"/>
    <n v="1"/>
    <n v="2009"/>
    <n v="2008"/>
    <n v="4"/>
    <x v="0"/>
    <s v="4B"/>
    <x v="6"/>
    <n v="1"/>
    <n v="7"/>
    <x v="0"/>
    <x v="0"/>
  </r>
  <r>
    <n v="747"/>
    <n v="100888811"/>
    <s v="Recovery"/>
    <n v="200"/>
    <s v="AHY"/>
    <s v="M"/>
    <n v="2"/>
    <n v="2007"/>
    <n v="2006"/>
    <n v="2"/>
    <x v="0"/>
    <s v="2B"/>
    <x v="5"/>
    <n v="1"/>
    <n v="7"/>
    <x v="0"/>
    <x v="0"/>
  </r>
  <r>
    <n v="750"/>
    <n v="100888814"/>
    <s v="Recovery"/>
    <n v="200"/>
    <s v="AHY"/>
    <s v="M"/>
    <n v="9"/>
    <n v="2011"/>
    <n v="2011"/>
    <n v="7"/>
    <x v="0"/>
    <s v="7B"/>
    <x v="9"/>
    <n v="1"/>
    <n v="7"/>
    <x v="0"/>
    <x v="0"/>
  </r>
  <r>
    <n v="753"/>
    <n v="100888817"/>
    <s v="Recovery"/>
    <n v="200"/>
    <s v="AHY"/>
    <s v="F"/>
    <n v="1"/>
    <n v="2006"/>
    <n v="2005"/>
    <n v="1"/>
    <x v="0"/>
    <s v="1B"/>
    <x v="0"/>
    <n v="1"/>
    <n v="7"/>
    <x v="0"/>
    <x v="0"/>
  </r>
  <r>
    <n v="754"/>
    <n v="100888818"/>
    <s v="Recovery"/>
    <n v="200"/>
    <s v="AHY"/>
    <s v="F"/>
    <n v="2"/>
    <n v="2007"/>
    <n v="2006"/>
    <n v="2"/>
    <x v="0"/>
    <s v="2B"/>
    <x v="5"/>
    <n v="1"/>
    <n v="7"/>
    <x v="0"/>
    <x v="0"/>
  </r>
  <r>
    <n v="756"/>
    <n v="100888820"/>
    <s v="Recovery"/>
    <n v="200"/>
    <s v="AHY"/>
    <s v="M"/>
    <n v="2"/>
    <n v="2007"/>
    <n v="2006"/>
    <n v="2"/>
    <x v="0"/>
    <s v="2B"/>
    <x v="5"/>
    <n v="1"/>
    <n v="7"/>
    <x v="0"/>
    <x v="0"/>
  </r>
  <r>
    <n v="759"/>
    <n v="100888823"/>
    <s v="Recovery"/>
    <n v="200"/>
    <s v="AHY"/>
    <s v="F"/>
    <n v="1"/>
    <n v="2008"/>
    <n v="2007"/>
    <n v="3"/>
    <x v="0"/>
    <s v="3B"/>
    <x v="1"/>
    <n v="1"/>
    <n v="7"/>
    <x v="0"/>
    <x v="0"/>
  </r>
  <r>
    <n v="770"/>
    <n v="100888834"/>
    <s v="Recovery"/>
    <n v="200"/>
    <s v="AHY"/>
    <s v="F"/>
    <n v="12"/>
    <n v="2005"/>
    <n v="2005"/>
    <n v="1"/>
    <x v="0"/>
    <s v="1B"/>
    <x v="0"/>
    <n v="1"/>
    <n v="7"/>
    <x v="0"/>
    <x v="0"/>
  </r>
  <r>
    <n v="771"/>
    <n v="100888835"/>
    <s v="Recovery"/>
    <n v="200"/>
    <s v="AHY"/>
    <s v="F"/>
    <n v="10"/>
    <n v="2005"/>
    <n v="2005"/>
    <n v="1"/>
    <x v="0"/>
    <s v="1B"/>
    <x v="0"/>
    <n v="1"/>
    <n v="7"/>
    <x v="0"/>
    <x v="0"/>
  </r>
  <r>
    <n v="774"/>
    <n v="100888838"/>
    <s v="Recovery"/>
    <n v="200"/>
    <s v="AHY"/>
    <s v="M"/>
    <n v="9"/>
    <n v="2008"/>
    <n v="2008"/>
    <n v="4"/>
    <x v="0"/>
    <s v="4B"/>
    <x v="6"/>
    <n v="1"/>
    <n v="7"/>
    <x v="0"/>
    <x v="0"/>
  </r>
  <r>
    <n v="775"/>
    <n v="100888839"/>
    <s v="Recovery"/>
    <n v="200"/>
    <s v="AHY"/>
    <s v="F"/>
    <n v="1"/>
    <n v="2006"/>
    <n v="2005"/>
    <n v="1"/>
    <x v="0"/>
    <s v="1B"/>
    <x v="0"/>
    <n v="1"/>
    <n v="7"/>
    <x v="0"/>
    <x v="0"/>
  </r>
  <r>
    <n v="776"/>
    <n v="100888840"/>
    <s v="Recovery"/>
    <n v="200"/>
    <s v="AHY"/>
    <s v="M"/>
    <n v="1"/>
    <n v="2007"/>
    <n v="2006"/>
    <n v="2"/>
    <x v="0"/>
    <s v="2B"/>
    <x v="5"/>
    <n v="1"/>
    <n v="7"/>
    <x v="0"/>
    <x v="0"/>
  </r>
  <r>
    <n v="777"/>
    <n v="100888841"/>
    <s v="Recovery"/>
    <n v="200"/>
    <s v="AHY"/>
    <s v="F"/>
    <n v="9"/>
    <n v="2008"/>
    <n v="2008"/>
    <n v="4"/>
    <x v="0"/>
    <s v="4B"/>
    <x v="6"/>
    <n v="1"/>
    <n v="7"/>
    <x v="0"/>
    <x v="0"/>
  </r>
  <r>
    <n v="784"/>
    <n v="100888848"/>
    <s v="Recovery"/>
    <n v="200"/>
    <s v="AHY"/>
    <s v="F"/>
    <n v="1"/>
    <n v="2006"/>
    <n v="2005"/>
    <n v="1"/>
    <x v="0"/>
    <s v="1B"/>
    <x v="0"/>
    <n v="1"/>
    <n v="7"/>
    <x v="0"/>
    <x v="0"/>
  </r>
  <r>
    <n v="789"/>
    <n v="100888853"/>
    <s v="Recovery"/>
    <n v="200"/>
    <s v="AHY"/>
    <s v="M"/>
    <n v="2"/>
    <n v="2008"/>
    <n v="2007"/>
    <n v="3"/>
    <x v="0"/>
    <s v="3B"/>
    <x v="1"/>
    <n v="1"/>
    <n v="7"/>
    <x v="0"/>
    <x v="0"/>
  </r>
  <r>
    <n v="791"/>
    <n v="100888855"/>
    <s v="Recovery"/>
    <n v="200"/>
    <s v="AHY"/>
    <s v="F"/>
    <n v="1"/>
    <n v="2009"/>
    <n v="2008"/>
    <n v="4"/>
    <x v="0"/>
    <s v="4B"/>
    <x v="6"/>
    <n v="1"/>
    <n v="7"/>
    <x v="0"/>
    <x v="0"/>
  </r>
  <r>
    <n v="793"/>
    <n v="100888857"/>
    <s v="Recovery"/>
    <n v="200"/>
    <s v="AHY"/>
    <s v="F"/>
    <n v="9"/>
    <n v="2007"/>
    <n v="2007"/>
    <n v="3"/>
    <x v="0"/>
    <s v="3B"/>
    <x v="1"/>
    <n v="1"/>
    <n v="7"/>
    <x v="0"/>
    <x v="0"/>
  </r>
  <r>
    <n v="797"/>
    <n v="100888861"/>
    <s v="Recovery"/>
    <n v="200"/>
    <s v="AHY"/>
    <s v="F"/>
    <n v="9"/>
    <n v="2006"/>
    <n v="2006"/>
    <n v="2"/>
    <x v="0"/>
    <s v="2B"/>
    <x v="5"/>
    <n v="1"/>
    <n v="7"/>
    <x v="0"/>
    <x v="0"/>
  </r>
  <r>
    <n v="801"/>
    <n v="100888865"/>
    <s v="Recovery"/>
    <n v="200"/>
    <s v="AHY"/>
    <s v="F"/>
    <n v="2"/>
    <n v="2006"/>
    <n v="2005"/>
    <n v="1"/>
    <x v="0"/>
    <s v="1B"/>
    <x v="0"/>
    <n v="1"/>
    <n v="7"/>
    <x v="0"/>
    <x v="0"/>
  </r>
  <r>
    <n v="803"/>
    <n v="100888867"/>
    <s v="Recovery"/>
    <n v="200"/>
    <s v="AHY"/>
    <s v="M"/>
    <n v="1"/>
    <n v="2006"/>
    <n v="2005"/>
    <n v="1"/>
    <x v="0"/>
    <s v="1B"/>
    <x v="0"/>
    <n v="1"/>
    <n v="7"/>
    <x v="0"/>
    <x v="0"/>
  </r>
  <r>
    <n v="804"/>
    <n v="100888868"/>
    <s v="Recovery"/>
    <n v="200"/>
    <s v="AHY"/>
    <s v="F"/>
    <n v="9"/>
    <n v="2010"/>
    <n v="2010"/>
    <n v="6"/>
    <x v="0"/>
    <s v="6B"/>
    <x v="2"/>
    <n v="1"/>
    <n v="7"/>
    <x v="0"/>
    <x v="0"/>
  </r>
  <r>
    <n v="805"/>
    <n v="100888869"/>
    <s v="Recovery"/>
    <n v="200"/>
    <s v="AHY"/>
    <s v="F"/>
    <n v="2"/>
    <n v="2006"/>
    <n v="2005"/>
    <n v="1"/>
    <x v="0"/>
    <s v="1B"/>
    <x v="0"/>
    <n v="1"/>
    <n v="7"/>
    <x v="0"/>
    <x v="0"/>
  </r>
  <r>
    <n v="806"/>
    <n v="100888870"/>
    <s v="Recovery"/>
    <n v="200"/>
    <s v="AHY"/>
    <s v="M"/>
    <n v="10"/>
    <n v="2005"/>
    <n v="2005"/>
    <n v="1"/>
    <x v="0"/>
    <s v="1B"/>
    <x v="0"/>
    <n v="1"/>
    <n v="7"/>
    <x v="0"/>
    <x v="0"/>
  </r>
  <r>
    <n v="811"/>
    <n v="100888875"/>
    <s v="Recovery"/>
    <n v="200"/>
    <s v="AHY"/>
    <s v="M"/>
    <n v="1"/>
    <n v="2012"/>
    <n v="2011"/>
    <n v="7"/>
    <x v="0"/>
    <s v="7B"/>
    <x v="9"/>
    <n v="1"/>
    <n v="7"/>
    <x v="0"/>
    <x v="0"/>
  </r>
  <r>
    <n v="814"/>
    <n v="100888878"/>
    <s v="Recovery"/>
    <n v="200"/>
    <s v="AHY"/>
    <s v="F"/>
    <n v="12"/>
    <n v="2010"/>
    <n v="2010"/>
    <n v="6"/>
    <x v="0"/>
    <s v="6B"/>
    <x v="2"/>
    <n v="1"/>
    <n v="7"/>
    <x v="0"/>
    <x v="0"/>
  </r>
  <r>
    <n v="818"/>
    <n v="100888882"/>
    <s v="Recovery"/>
    <n v="200"/>
    <s v="AHY"/>
    <s v="M"/>
    <n v="1"/>
    <n v="2006"/>
    <n v="2005"/>
    <n v="1"/>
    <x v="0"/>
    <s v="1B"/>
    <x v="0"/>
    <n v="1"/>
    <n v="7"/>
    <x v="0"/>
    <x v="0"/>
  </r>
  <r>
    <n v="819"/>
    <n v="100888883"/>
    <s v="Recovery"/>
    <n v="200"/>
    <s v="AHY"/>
    <s v="M"/>
    <n v="1"/>
    <n v="2006"/>
    <n v="2005"/>
    <n v="1"/>
    <x v="0"/>
    <s v="1B"/>
    <x v="0"/>
    <n v="1"/>
    <n v="7"/>
    <x v="0"/>
    <x v="0"/>
  </r>
  <r>
    <n v="820"/>
    <n v="100888884"/>
    <s v="Recovery"/>
    <n v="200"/>
    <s v="AHY"/>
    <s v="M"/>
    <n v="1"/>
    <n v="2007"/>
    <n v="2006"/>
    <n v="2"/>
    <x v="0"/>
    <s v="2B"/>
    <x v="5"/>
    <n v="1"/>
    <n v="7"/>
    <x v="0"/>
    <x v="0"/>
  </r>
  <r>
    <n v="822"/>
    <n v="100888886"/>
    <s v="Recovery"/>
    <n v="200"/>
    <s v="AHY"/>
    <s v="M"/>
    <n v="2"/>
    <n v="2008"/>
    <n v="2007"/>
    <n v="3"/>
    <x v="0"/>
    <s v="3B"/>
    <x v="1"/>
    <n v="1"/>
    <n v="7"/>
    <x v="0"/>
    <x v="0"/>
  </r>
  <r>
    <n v="829"/>
    <n v="100888893"/>
    <s v="Recovery"/>
    <n v="200"/>
    <s v="AHY"/>
    <s v="F"/>
    <n v="2"/>
    <n v="2006"/>
    <n v="2005"/>
    <n v="1"/>
    <x v="0"/>
    <s v="1B"/>
    <x v="0"/>
    <n v="1"/>
    <n v="7"/>
    <x v="0"/>
    <x v="0"/>
  </r>
  <r>
    <n v="832"/>
    <n v="100888896"/>
    <s v="Recovery"/>
    <n v="200"/>
    <s v="AHY"/>
    <s v="M"/>
    <n v="1"/>
    <n v="2006"/>
    <n v="2005"/>
    <n v="1"/>
    <x v="0"/>
    <s v="1B"/>
    <x v="0"/>
    <n v="1"/>
    <n v="7"/>
    <x v="0"/>
    <x v="0"/>
  </r>
  <r>
    <n v="836"/>
    <n v="100888900"/>
    <s v="Recovery"/>
    <n v="200"/>
    <s v="AHY"/>
    <s v="M"/>
    <n v="1"/>
    <n v="2010"/>
    <n v="2009"/>
    <n v="5"/>
    <x v="0"/>
    <s v="5B"/>
    <x v="8"/>
    <n v="1"/>
    <n v="7"/>
    <x v="0"/>
    <x v="0"/>
  </r>
  <r>
    <n v="839"/>
    <n v="100888163"/>
    <s v="Recovery"/>
    <n v="200"/>
    <s v="AHY"/>
    <s v="M"/>
    <n v="1"/>
    <n v="2009"/>
    <n v="2008"/>
    <n v="4"/>
    <x v="0"/>
    <s v="4B"/>
    <x v="6"/>
    <n v="1"/>
    <n v="7"/>
    <x v="0"/>
    <x v="0"/>
  </r>
  <r>
    <n v="845"/>
    <n v="100888169"/>
    <s v="Recovery"/>
    <n v="200"/>
    <s v="AHY"/>
    <s v="F"/>
    <n v="10"/>
    <n v="2006"/>
    <n v="2006"/>
    <n v="2"/>
    <x v="0"/>
    <s v="2B"/>
    <x v="5"/>
    <n v="1"/>
    <n v="7"/>
    <x v="0"/>
    <x v="0"/>
  </r>
  <r>
    <n v="846"/>
    <n v="100888170"/>
    <s v="Recovery"/>
    <n v="200"/>
    <s v="AHY"/>
    <s v="F"/>
    <n v="1"/>
    <n v="2010"/>
    <n v="2009"/>
    <n v="5"/>
    <x v="0"/>
    <s v="5B"/>
    <x v="8"/>
    <n v="1"/>
    <n v="7"/>
    <x v="0"/>
    <x v="0"/>
  </r>
  <r>
    <n v="850"/>
    <n v="100888174"/>
    <s v="Recovery"/>
    <n v="200"/>
    <s v="AHY"/>
    <s v="F"/>
    <n v="9"/>
    <n v="2006"/>
    <n v="2006"/>
    <n v="2"/>
    <x v="0"/>
    <s v="2B"/>
    <x v="5"/>
    <n v="1"/>
    <n v="64"/>
    <x v="4"/>
    <x v="1"/>
  </r>
  <r>
    <n v="852"/>
    <n v="100888176"/>
    <s v="Recovery"/>
    <n v="200"/>
    <s v="AHY"/>
    <s v="F"/>
    <n v="10"/>
    <n v="2005"/>
    <n v="2005"/>
    <n v="1"/>
    <x v="0"/>
    <s v="1B"/>
    <x v="0"/>
    <n v="1"/>
    <n v="7"/>
    <x v="0"/>
    <x v="0"/>
  </r>
  <r>
    <n v="853"/>
    <n v="100888177"/>
    <s v="Recovery"/>
    <n v="200"/>
    <s v="AHY"/>
    <s v="M"/>
    <n v="2"/>
    <n v="2006"/>
    <n v="2005"/>
    <n v="1"/>
    <x v="0"/>
    <s v="1B"/>
    <x v="0"/>
    <n v="1"/>
    <n v="7"/>
    <x v="0"/>
    <x v="0"/>
  </r>
  <r>
    <n v="855"/>
    <n v="100888179"/>
    <s v="Recovery"/>
    <n v="200"/>
    <s v="AHY"/>
    <s v="M"/>
    <n v="1"/>
    <n v="2009"/>
    <n v="2008"/>
    <n v="4"/>
    <x v="0"/>
    <s v="4B"/>
    <x v="6"/>
    <n v="1"/>
    <n v="7"/>
    <x v="0"/>
    <x v="0"/>
  </r>
  <r>
    <n v="856"/>
    <n v="100888180"/>
    <s v="Recovery"/>
    <n v="200"/>
    <s v="AHY"/>
    <s v="M"/>
    <n v="9"/>
    <n v="2008"/>
    <n v="2008"/>
    <n v="4"/>
    <x v="0"/>
    <s v="4B"/>
    <x v="6"/>
    <n v="1"/>
    <n v="45"/>
    <x v="1"/>
    <x v="1"/>
  </r>
  <r>
    <n v="860"/>
    <n v="100888184"/>
    <s v="Recovery"/>
    <n v="200"/>
    <s v="AHY"/>
    <s v="F"/>
    <n v="2"/>
    <n v="2007"/>
    <n v="2006"/>
    <n v="2"/>
    <x v="0"/>
    <s v="2B"/>
    <x v="5"/>
    <n v="1"/>
    <n v="7"/>
    <x v="0"/>
    <x v="0"/>
  </r>
  <r>
    <n v="874"/>
    <n v="96897806"/>
    <s v="Recovery"/>
    <n v="200"/>
    <s v="AHY"/>
    <s v="M"/>
    <n v="12"/>
    <n v="2011"/>
    <n v="2011"/>
    <n v="7"/>
    <x v="0"/>
    <s v="7B"/>
    <x v="9"/>
    <n v="1"/>
    <n v="7"/>
    <x v="0"/>
    <x v="0"/>
  </r>
  <r>
    <n v="875"/>
    <n v="96897807"/>
    <s v="Recovery"/>
    <n v="200"/>
    <s v="AHY"/>
    <s v="M"/>
    <n v="1"/>
    <n v="2008"/>
    <n v="2007"/>
    <n v="3"/>
    <x v="0"/>
    <s v="3B"/>
    <x v="1"/>
    <n v="1"/>
    <n v="7"/>
    <x v="0"/>
    <x v="0"/>
  </r>
  <r>
    <n v="876"/>
    <n v="96897808"/>
    <s v="Recovery"/>
    <n v="200"/>
    <s v="AHY"/>
    <s v="F"/>
    <n v="1"/>
    <n v="2010"/>
    <n v="2009"/>
    <n v="5"/>
    <x v="0"/>
    <s v="5B"/>
    <x v="8"/>
    <n v="1"/>
    <n v="7"/>
    <x v="0"/>
    <x v="0"/>
  </r>
  <r>
    <n v="881"/>
    <n v="96897813"/>
    <s v="Recovery"/>
    <n v="200"/>
    <s v="AHY"/>
    <s v="F"/>
    <n v="9"/>
    <n v="2010"/>
    <n v="2010"/>
    <n v="6"/>
    <x v="0"/>
    <s v="6B"/>
    <x v="2"/>
    <n v="1"/>
    <n v="7"/>
    <x v="0"/>
    <x v="0"/>
  </r>
  <r>
    <n v="888"/>
    <n v="96897820"/>
    <s v="Recovery"/>
    <n v="200"/>
    <s v="AHY"/>
    <s v="M"/>
    <n v="1"/>
    <n v="2011"/>
    <n v="2010"/>
    <n v="6"/>
    <x v="0"/>
    <s v="6B"/>
    <x v="2"/>
    <n v="1"/>
    <n v="7"/>
    <x v="0"/>
    <x v="0"/>
  </r>
  <r>
    <n v="896"/>
    <n v="96897828"/>
    <s v="Recovery"/>
    <n v="200"/>
    <s v="AHY"/>
    <s v="F"/>
    <n v="9"/>
    <n v="2009"/>
    <n v="2009"/>
    <n v="5"/>
    <x v="0"/>
    <s v="5B"/>
    <x v="8"/>
    <n v="1"/>
    <n v="7"/>
    <x v="0"/>
    <x v="0"/>
  </r>
  <r>
    <n v="897"/>
    <n v="96897829"/>
    <s v="Recovery"/>
    <n v="200"/>
    <s v="AHY"/>
    <s v="F"/>
    <n v="9"/>
    <n v="2009"/>
    <n v="2009"/>
    <n v="5"/>
    <x v="0"/>
    <s v="5B"/>
    <x v="8"/>
    <n v="1"/>
    <n v="7"/>
    <x v="0"/>
    <x v="0"/>
  </r>
  <r>
    <n v="902"/>
    <n v="96897834"/>
    <s v="Recovery"/>
    <n v="200"/>
    <s v="AHY"/>
    <s v="M"/>
    <n v="10"/>
    <n v="2007"/>
    <n v="2007"/>
    <n v="3"/>
    <x v="0"/>
    <s v="3B"/>
    <x v="1"/>
    <n v="1"/>
    <n v="7"/>
    <x v="0"/>
    <x v="0"/>
  </r>
  <r>
    <n v="904"/>
    <n v="96897836"/>
    <s v="Recovery"/>
    <n v="200"/>
    <s v="AHY"/>
    <s v="M"/>
    <n v="9"/>
    <n v="2007"/>
    <n v="2007"/>
    <n v="3"/>
    <x v="0"/>
    <s v="3B"/>
    <x v="1"/>
    <n v="1"/>
    <n v="7"/>
    <x v="0"/>
    <x v="0"/>
  </r>
  <r>
    <n v="905"/>
    <n v="96897837"/>
    <s v="Recovery"/>
    <n v="200"/>
    <s v="AHY"/>
    <s v="M"/>
    <n v="9"/>
    <n v="2007"/>
    <n v="2007"/>
    <n v="3"/>
    <x v="0"/>
    <s v="3B"/>
    <x v="1"/>
    <n v="1"/>
    <n v="7"/>
    <x v="0"/>
    <x v="0"/>
  </r>
  <r>
    <n v="910"/>
    <n v="96897842"/>
    <s v="Recovery"/>
    <n v="200"/>
    <s v="AHY"/>
    <s v="F"/>
    <n v="1"/>
    <n v="2008"/>
    <n v="2007"/>
    <n v="3"/>
    <x v="0"/>
    <s v="3B"/>
    <x v="1"/>
    <n v="1"/>
    <n v="7"/>
    <x v="0"/>
    <x v="0"/>
  </r>
  <r>
    <n v="911"/>
    <n v="96897843"/>
    <s v="Recovery"/>
    <n v="200"/>
    <s v="AHY"/>
    <s v="M"/>
    <n v="9"/>
    <n v="2007"/>
    <n v="2007"/>
    <n v="3"/>
    <x v="0"/>
    <s v="3B"/>
    <x v="1"/>
    <n v="1"/>
    <n v="7"/>
    <x v="0"/>
    <x v="0"/>
  </r>
  <r>
    <n v="912"/>
    <n v="96897844"/>
    <s v="Recovery"/>
    <n v="200"/>
    <s v="AHY"/>
    <s v="F"/>
    <n v="9"/>
    <n v="2010"/>
    <n v="2010"/>
    <n v="6"/>
    <x v="0"/>
    <s v="6B"/>
    <x v="2"/>
    <n v="1"/>
    <n v="7"/>
    <x v="0"/>
    <x v="0"/>
  </r>
  <r>
    <n v="913"/>
    <n v="96897845"/>
    <s v="Recovery"/>
    <n v="200"/>
    <s v="AHY"/>
    <s v="M"/>
    <n v="1"/>
    <n v="2007"/>
    <n v="2006"/>
    <n v="2"/>
    <x v="0"/>
    <s v="2B"/>
    <x v="5"/>
    <n v="1"/>
    <n v="7"/>
    <x v="0"/>
    <x v="0"/>
  </r>
  <r>
    <n v="916"/>
    <n v="96897848"/>
    <s v="Recovery"/>
    <n v="200"/>
    <s v="AHY"/>
    <s v="F"/>
    <n v="9"/>
    <n v="2009"/>
    <n v="2009"/>
    <n v="5"/>
    <x v="0"/>
    <s v="5B"/>
    <x v="8"/>
    <n v="1"/>
    <n v="7"/>
    <x v="0"/>
    <x v="0"/>
  </r>
  <r>
    <n v="920"/>
    <n v="96897852"/>
    <s v="Recovery"/>
    <n v="200"/>
    <s v="AHY"/>
    <s v="F"/>
    <n v="9"/>
    <n v="2015"/>
    <n v="2015"/>
    <n v="11"/>
    <x v="0"/>
    <s v="11B"/>
    <x v="14"/>
    <n v="1"/>
    <n v="7"/>
    <x v="0"/>
    <x v="0"/>
  </r>
  <r>
    <n v="921"/>
    <n v="96897853"/>
    <s v="Recovery"/>
    <n v="200"/>
    <s v="HY"/>
    <s v="F"/>
    <n v="10"/>
    <n v="2006"/>
    <n v="2006"/>
    <n v="2"/>
    <x v="0"/>
    <s v="2B"/>
    <x v="5"/>
    <n v="1"/>
    <n v="7"/>
    <x v="0"/>
    <x v="0"/>
  </r>
  <r>
    <n v="922"/>
    <n v="96897854"/>
    <s v="Recovery"/>
    <n v="200"/>
    <s v="AHY"/>
    <s v="M"/>
    <n v="9"/>
    <n v="2007"/>
    <n v="2007"/>
    <n v="3"/>
    <x v="0"/>
    <s v="3B"/>
    <x v="1"/>
    <n v="1"/>
    <n v="7"/>
    <x v="0"/>
    <x v="0"/>
  </r>
  <r>
    <n v="926"/>
    <n v="96897859"/>
    <s v="Recovery"/>
    <n v="200"/>
    <s v="AHY"/>
    <s v="F"/>
    <n v="1"/>
    <n v="2010"/>
    <n v="2009"/>
    <n v="5"/>
    <x v="0"/>
    <s v="5B"/>
    <x v="8"/>
    <n v="1"/>
    <n v="7"/>
    <x v="0"/>
    <x v="0"/>
  </r>
  <r>
    <n v="927"/>
    <n v="96897860"/>
    <s v="Recovery"/>
    <n v="200"/>
    <s v="AHY"/>
    <s v="F"/>
    <n v="1"/>
    <n v="2007"/>
    <n v="2006"/>
    <n v="2"/>
    <x v="0"/>
    <s v="2B"/>
    <x v="5"/>
    <n v="1"/>
    <n v="7"/>
    <x v="0"/>
    <x v="0"/>
  </r>
  <r>
    <n v="928"/>
    <n v="96897861"/>
    <s v="Recovery"/>
    <n v="200"/>
    <s v="AHY"/>
    <s v="M"/>
    <n v="2"/>
    <n v="2007"/>
    <n v="2006"/>
    <n v="2"/>
    <x v="0"/>
    <s v="2B"/>
    <x v="5"/>
    <n v="1"/>
    <n v="7"/>
    <x v="0"/>
    <x v="0"/>
  </r>
  <r>
    <n v="934"/>
    <n v="96897867"/>
    <s v="Recovery"/>
    <n v="200"/>
    <s v="AHY"/>
    <s v="F"/>
    <n v="9"/>
    <n v="2011"/>
    <n v="2011"/>
    <n v="7"/>
    <x v="0"/>
    <s v="7B"/>
    <x v="9"/>
    <n v="1"/>
    <n v="7"/>
    <x v="0"/>
    <x v="0"/>
  </r>
  <r>
    <n v="935"/>
    <n v="96897868"/>
    <s v="Recovery"/>
    <n v="200"/>
    <s v="AHY"/>
    <s v="F"/>
    <n v="9"/>
    <n v="2007"/>
    <n v="2007"/>
    <n v="3"/>
    <x v="0"/>
    <s v="3B"/>
    <x v="1"/>
    <n v="1"/>
    <n v="7"/>
    <x v="0"/>
    <x v="0"/>
  </r>
  <r>
    <n v="936"/>
    <n v="96897869"/>
    <s v="Recovery"/>
    <n v="200"/>
    <s v="AHY"/>
    <s v="M"/>
    <n v="1"/>
    <n v="2010"/>
    <n v="2009"/>
    <n v="5"/>
    <x v="0"/>
    <s v="5B"/>
    <x v="8"/>
    <n v="1"/>
    <n v="7"/>
    <x v="0"/>
    <x v="0"/>
  </r>
  <r>
    <n v="938"/>
    <n v="96897871"/>
    <s v="Recovery"/>
    <n v="200"/>
    <s v="AHY"/>
    <s v="F"/>
    <n v="1"/>
    <n v="2011"/>
    <n v="2010"/>
    <n v="6"/>
    <x v="0"/>
    <s v="6B"/>
    <x v="2"/>
    <n v="1"/>
    <n v="7"/>
    <x v="0"/>
    <x v="0"/>
  </r>
  <r>
    <n v="940"/>
    <n v="96897873"/>
    <s v="Recovery"/>
    <n v="200"/>
    <s v="AHY"/>
    <s v="M"/>
    <n v="9"/>
    <n v="2009"/>
    <n v="2009"/>
    <n v="5"/>
    <x v="0"/>
    <s v="5B"/>
    <x v="8"/>
    <n v="1"/>
    <n v="7"/>
    <x v="0"/>
    <x v="0"/>
  </r>
  <r>
    <n v="942"/>
    <n v="96897875"/>
    <s v="Recovery"/>
    <n v="200"/>
    <s v="AHY"/>
    <s v="F"/>
    <n v="9"/>
    <n v="2009"/>
    <n v="2009"/>
    <n v="5"/>
    <x v="0"/>
    <s v="5B"/>
    <x v="8"/>
    <n v="1"/>
    <n v="7"/>
    <x v="0"/>
    <x v="0"/>
  </r>
  <r>
    <n v="948"/>
    <n v="96897881"/>
    <s v="Recovery"/>
    <n v="200"/>
    <s v="AHY"/>
    <s v="M"/>
    <n v="9"/>
    <n v="2008"/>
    <n v="2008"/>
    <n v="4"/>
    <x v="0"/>
    <s v="4B"/>
    <x v="6"/>
    <n v="1"/>
    <n v="7"/>
    <x v="0"/>
    <x v="0"/>
  </r>
  <r>
    <n v="950"/>
    <n v="96897883"/>
    <s v="Recovery"/>
    <n v="200"/>
    <s v="AHY"/>
    <s v="F"/>
    <n v="10"/>
    <n v="2006"/>
    <n v="2006"/>
    <n v="2"/>
    <x v="0"/>
    <s v="2B"/>
    <x v="5"/>
    <n v="1"/>
    <n v="7"/>
    <x v="0"/>
    <x v="0"/>
  </r>
  <r>
    <n v="954"/>
    <n v="96897887"/>
    <s v="Recovery"/>
    <n v="200"/>
    <s v="AHY"/>
    <s v="M"/>
    <n v="12"/>
    <n v="2013"/>
    <n v="2013"/>
    <n v="9"/>
    <x v="0"/>
    <s v="9B"/>
    <x v="4"/>
    <n v="1"/>
    <n v="7"/>
    <x v="0"/>
    <x v="0"/>
  </r>
  <r>
    <n v="955"/>
    <n v="96897888"/>
    <s v="Recovery"/>
    <n v="200"/>
    <s v="AHY"/>
    <s v="F"/>
    <n v="11"/>
    <n v="2013"/>
    <n v="2013"/>
    <n v="9"/>
    <x v="0"/>
    <s v="9B"/>
    <x v="4"/>
    <n v="1"/>
    <n v="7"/>
    <x v="0"/>
    <x v="0"/>
  </r>
  <r>
    <n v="959"/>
    <n v="96897892"/>
    <s v="Recovery"/>
    <n v="200"/>
    <s v="AHY"/>
    <s v="F"/>
    <n v="12"/>
    <n v="2010"/>
    <n v="2010"/>
    <n v="6"/>
    <x v="0"/>
    <s v="6B"/>
    <x v="2"/>
    <n v="1"/>
    <n v="7"/>
    <x v="0"/>
    <x v="0"/>
  </r>
  <r>
    <n v="965"/>
    <n v="96897898"/>
    <s v="Recovery"/>
    <n v="200"/>
    <s v="AHY"/>
    <s v="F"/>
    <n v="9"/>
    <n v="2010"/>
    <n v="2010"/>
    <n v="6"/>
    <x v="0"/>
    <s v="6B"/>
    <x v="2"/>
    <n v="1"/>
    <n v="7"/>
    <x v="0"/>
    <x v="0"/>
  </r>
  <r>
    <n v="966"/>
    <n v="96897899"/>
    <s v="Recovery"/>
    <n v="200"/>
    <s v="AHY"/>
    <s v="F"/>
    <n v="1"/>
    <n v="2011"/>
    <n v="2010"/>
    <n v="6"/>
    <x v="0"/>
    <s v="6B"/>
    <x v="2"/>
    <n v="1"/>
    <n v="7"/>
    <x v="0"/>
    <x v="0"/>
  </r>
  <r>
    <n v="967"/>
    <n v="96897900"/>
    <s v="Recovery"/>
    <n v="200"/>
    <s v="AHY"/>
    <s v="F"/>
    <n v="9"/>
    <n v="2008"/>
    <n v="2008"/>
    <n v="4"/>
    <x v="0"/>
    <s v="4B"/>
    <x v="6"/>
    <n v="1"/>
    <n v="7"/>
    <x v="0"/>
    <x v="0"/>
  </r>
  <r>
    <n v="969"/>
    <n v="102875002"/>
    <s v="Recovery"/>
    <n v="200"/>
    <s v="AHY"/>
    <s v="F"/>
    <n v="9"/>
    <n v="2007"/>
    <n v="2007"/>
    <n v="3"/>
    <x v="0"/>
    <s v="3B"/>
    <x v="1"/>
    <n v="1"/>
    <n v="7"/>
    <x v="0"/>
    <x v="0"/>
  </r>
  <r>
    <n v="970"/>
    <n v="102875003"/>
    <s v="Recovery"/>
    <n v="200"/>
    <s v="AHY"/>
    <s v="F"/>
    <n v="12"/>
    <n v="2010"/>
    <n v="2010"/>
    <n v="6"/>
    <x v="0"/>
    <s v="6B"/>
    <x v="2"/>
    <n v="1"/>
    <n v="7"/>
    <x v="0"/>
    <x v="0"/>
  </r>
  <r>
    <n v="975"/>
    <n v="102875008"/>
    <s v="Recovery"/>
    <n v="200"/>
    <s v="AHY"/>
    <s v="M"/>
    <n v="9"/>
    <n v="2011"/>
    <n v="2011"/>
    <n v="7"/>
    <x v="0"/>
    <s v="7B"/>
    <x v="9"/>
    <n v="1"/>
    <n v="7"/>
    <x v="0"/>
    <x v="0"/>
  </r>
  <r>
    <n v="977"/>
    <n v="102875010"/>
    <s v="Recovery"/>
    <n v="200"/>
    <s v="AHY"/>
    <s v="M"/>
    <n v="8"/>
    <n v="2014"/>
    <n v="2014"/>
    <n v="10"/>
    <x v="0"/>
    <s v="10B"/>
    <x v="7"/>
    <n v="1"/>
    <n v="64"/>
    <x v="4"/>
    <x v="1"/>
  </r>
  <r>
    <n v="982"/>
    <n v="102875015"/>
    <s v="Recovery"/>
    <n v="200"/>
    <s v="AHY"/>
    <s v="F"/>
    <n v="1"/>
    <n v="2008"/>
    <n v="2007"/>
    <n v="3"/>
    <x v="0"/>
    <s v="3B"/>
    <x v="1"/>
    <n v="1"/>
    <n v="7"/>
    <x v="0"/>
    <x v="0"/>
  </r>
  <r>
    <n v="986"/>
    <n v="102875019"/>
    <s v="Recovery"/>
    <n v="200"/>
    <s v="AHY"/>
    <s v="M"/>
    <n v="12"/>
    <n v="2010"/>
    <n v="2010"/>
    <n v="6"/>
    <x v="0"/>
    <s v="6B"/>
    <x v="2"/>
    <n v="1"/>
    <n v="7"/>
    <x v="0"/>
    <x v="0"/>
  </r>
  <r>
    <n v="987"/>
    <n v="102875020"/>
    <s v="Recovery"/>
    <n v="200"/>
    <s v="AHY"/>
    <s v="M"/>
    <n v="9"/>
    <n v="2006"/>
    <n v="2006"/>
    <n v="2"/>
    <x v="0"/>
    <s v="2B"/>
    <x v="5"/>
    <n v="1"/>
    <n v="7"/>
    <x v="0"/>
    <x v="0"/>
  </r>
  <r>
    <n v="989"/>
    <n v="102875022"/>
    <s v="Recovery"/>
    <n v="200"/>
    <s v="AHY"/>
    <s v="M"/>
    <n v="1"/>
    <n v="2008"/>
    <n v="2007"/>
    <n v="3"/>
    <x v="0"/>
    <s v="3B"/>
    <x v="1"/>
    <n v="1"/>
    <n v="7"/>
    <x v="0"/>
    <x v="0"/>
  </r>
  <r>
    <n v="990"/>
    <n v="102875023"/>
    <s v="Recovery"/>
    <n v="200"/>
    <s v="AHY"/>
    <s v="M"/>
    <n v="9"/>
    <n v="2010"/>
    <n v="2010"/>
    <n v="6"/>
    <x v="0"/>
    <s v="6B"/>
    <x v="2"/>
    <n v="1"/>
    <n v="7"/>
    <x v="0"/>
    <x v="0"/>
  </r>
  <r>
    <n v="991"/>
    <n v="102875024"/>
    <s v="Recovery"/>
    <n v="200"/>
    <s v="AHY"/>
    <s v="F"/>
    <n v="10"/>
    <n v="2006"/>
    <n v="2006"/>
    <n v="2"/>
    <x v="0"/>
    <s v="2B"/>
    <x v="5"/>
    <n v="1"/>
    <n v="7"/>
    <x v="0"/>
    <x v="0"/>
  </r>
  <r>
    <n v="993"/>
    <n v="102875026"/>
    <s v="Recovery"/>
    <n v="200"/>
    <s v="AHY"/>
    <s v="M"/>
    <n v="1"/>
    <n v="2009"/>
    <n v="2008"/>
    <n v="4"/>
    <x v="0"/>
    <s v="4B"/>
    <x v="6"/>
    <n v="1"/>
    <n v="7"/>
    <x v="0"/>
    <x v="0"/>
  </r>
  <r>
    <n v="994"/>
    <n v="102875027"/>
    <s v="Recovery"/>
    <n v="200"/>
    <s v="AHY"/>
    <s v="M"/>
    <n v="11"/>
    <n v="2010"/>
    <n v="2010"/>
    <n v="6"/>
    <x v="0"/>
    <s v="6B"/>
    <x v="2"/>
    <n v="1"/>
    <n v="7"/>
    <x v="0"/>
    <x v="0"/>
  </r>
  <r>
    <n v="996"/>
    <n v="102875029"/>
    <s v="Recovery"/>
    <n v="200"/>
    <s v="AHY"/>
    <s v="M"/>
    <n v="10"/>
    <n v="2006"/>
    <n v="2006"/>
    <n v="2"/>
    <x v="0"/>
    <s v="2B"/>
    <x v="5"/>
    <n v="1"/>
    <n v="7"/>
    <x v="0"/>
    <x v="0"/>
  </r>
  <r>
    <n v="997"/>
    <n v="102875030"/>
    <s v="Recovery"/>
    <n v="200"/>
    <s v="AHY"/>
    <s v="M"/>
    <n v="9"/>
    <n v="2007"/>
    <n v="2007"/>
    <n v="3"/>
    <x v="0"/>
    <s v="3B"/>
    <x v="1"/>
    <n v="1"/>
    <n v="7"/>
    <x v="0"/>
    <x v="0"/>
  </r>
  <r>
    <n v="1003"/>
    <n v="102875036"/>
    <s v="Recovery"/>
    <n v="200"/>
    <s v="AHY"/>
    <s v="F"/>
    <n v="9"/>
    <n v="2007"/>
    <n v="2007"/>
    <n v="3"/>
    <x v="0"/>
    <s v="3B"/>
    <x v="1"/>
    <n v="1"/>
    <n v="7"/>
    <x v="0"/>
    <x v="0"/>
  </r>
  <r>
    <n v="1004"/>
    <n v="102875037"/>
    <s v="Recovery"/>
    <n v="200"/>
    <s v="AHY"/>
    <s v="M"/>
    <n v="1"/>
    <n v="2017"/>
    <n v="2016"/>
    <n v="12"/>
    <x v="0"/>
    <s v="12B"/>
    <x v="12"/>
    <n v="1"/>
    <n v="67"/>
    <x v="2"/>
    <x v="1"/>
  </r>
  <r>
    <n v="1005"/>
    <n v="102875038"/>
    <s v="Recovery"/>
    <n v="200"/>
    <s v="AHY"/>
    <s v="M"/>
    <n v="1"/>
    <n v="2008"/>
    <n v="2007"/>
    <n v="3"/>
    <x v="0"/>
    <s v="3B"/>
    <x v="1"/>
    <n v="1"/>
    <n v="7"/>
    <x v="0"/>
    <x v="0"/>
  </r>
  <r>
    <n v="1007"/>
    <n v="102875040"/>
    <s v="Recovery"/>
    <n v="200"/>
    <s v="AHY"/>
    <s v="M"/>
    <n v="9"/>
    <n v="2006"/>
    <n v="2006"/>
    <n v="2"/>
    <x v="0"/>
    <s v="2B"/>
    <x v="5"/>
    <n v="1"/>
    <n v="7"/>
    <x v="0"/>
    <x v="0"/>
  </r>
  <r>
    <n v="1010"/>
    <n v="102875043"/>
    <s v="Recovery"/>
    <n v="200"/>
    <s v="AHY"/>
    <s v="F"/>
    <n v="9"/>
    <n v="2010"/>
    <n v="2010"/>
    <n v="6"/>
    <x v="0"/>
    <s v="6B"/>
    <x v="2"/>
    <n v="1"/>
    <n v="7"/>
    <x v="0"/>
    <x v="0"/>
  </r>
  <r>
    <n v="1011"/>
    <n v="102875044"/>
    <s v="Recovery"/>
    <n v="200"/>
    <s v="AHY"/>
    <s v="F"/>
    <n v="1"/>
    <n v="2011"/>
    <n v="2010"/>
    <n v="6"/>
    <x v="0"/>
    <s v="6B"/>
    <x v="2"/>
    <n v="1"/>
    <n v="7"/>
    <x v="0"/>
    <x v="0"/>
  </r>
  <r>
    <n v="1013"/>
    <n v="102875046"/>
    <s v="Recovery"/>
    <n v="200"/>
    <s v="AHY"/>
    <s v="M"/>
    <n v="2"/>
    <n v="2008"/>
    <n v="2007"/>
    <n v="3"/>
    <x v="0"/>
    <s v="3B"/>
    <x v="1"/>
    <n v="1"/>
    <n v="7"/>
    <x v="0"/>
    <x v="0"/>
  </r>
  <r>
    <n v="1015"/>
    <n v="102875048"/>
    <s v="Recovery"/>
    <n v="200"/>
    <s v="AHY"/>
    <s v="F"/>
    <n v="1"/>
    <n v="2016"/>
    <n v="2015"/>
    <n v="11"/>
    <x v="0"/>
    <s v="11B"/>
    <x v="14"/>
    <n v="1"/>
    <n v="7"/>
    <x v="0"/>
    <x v="0"/>
  </r>
  <r>
    <n v="1016"/>
    <n v="102875049"/>
    <s v="Recovery"/>
    <n v="200"/>
    <s v="AHY"/>
    <s v="M"/>
    <n v="9"/>
    <n v="2006"/>
    <n v="2006"/>
    <n v="2"/>
    <x v="0"/>
    <s v="2B"/>
    <x v="5"/>
    <n v="1"/>
    <n v="7"/>
    <x v="0"/>
    <x v="0"/>
  </r>
  <r>
    <n v="1020"/>
    <n v="102875053"/>
    <s v="Recovery"/>
    <n v="200"/>
    <s v="AHY"/>
    <s v="M"/>
    <n v="1"/>
    <n v="2009"/>
    <n v="2008"/>
    <n v="4"/>
    <x v="0"/>
    <s v="4B"/>
    <x v="6"/>
    <n v="1"/>
    <n v="7"/>
    <x v="0"/>
    <x v="0"/>
  </r>
  <r>
    <n v="1021"/>
    <n v="102875054"/>
    <s v="Recovery"/>
    <n v="200"/>
    <s v="AHY"/>
    <s v="M"/>
    <n v="1"/>
    <n v="2007"/>
    <n v="2006"/>
    <n v="2"/>
    <x v="0"/>
    <s v="2B"/>
    <x v="5"/>
    <n v="1"/>
    <n v="7"/>
    <x v="0"/>
    <x v="0"/>
  </r>
  <r>
    <n v="1022"/>
    <n v="102875055"/>
    <s v="Recovery"/>
    <n v="200"/>
    <s v="AHY"/>
    <s v="M"/>
    <n v="12"/>
    <n v="2007"/>
    <n v="2007"/>
    <n v="3"/>
    <x v="0"/>
    <s v="3B"/>
    <x v="1"/>
    <n v="1"/>
    <n v="7"/>
    <x v="0"/>
    <x v="0"/>
  </r>
  <r>
    <n v="1023"/>
    <n v="102875056"/>
    <s v="Recovery"/>
    <n v="200"/>
    <s v="AHY"/>
    <s v="F"/>
    <n v="1"/>
    <n v="2008"/>
    <n v="2007"/>
    <n v="3"/>
    <x v="0"/>
    <s v="3B"/>
    <x v="1"/>
    <n v="1"/>
    <n v="7"/>
    <x v="0"/>
    <x v="0"/>
  </r>
  <r>
    <n v="1026"/>
    <n v="102875059"/>
    <s v="Recovery"/>
    <n v="200"/>
    <s v="AHY"/>
    <s v="M"/>
    <n v="1"/>
    <n v="2010"/>
    <n v="2009"/>
    <n v="5"/>
    <x v="0"/>
    <s v="5B"/>
    <x v="8"/>
    <n v="1"/>
    <n v="7"/>
    <x v="0"/>
    <x v="0"/>
  </r>
  <r>
    <n v="1028"/>
    <n v="102875061"/>
    <s v="Recovery"/>
    <n v="200"/>
    <s v="AHY"/>
    <s v="M"/>
    <n v="12"/>
    <n v="2007"/>
    <n v="2007"/>
    <n v="3"/>
    <x v="0"/>
    <s v="3B"/>
    <x v="1"/>
    <n v="1"/>
    <n v="7"/>
    <x v="0"/>
    <x v="0"/>
  </r>
  <r>
    <n v="1029"/>
    <n v="102875062"/>
    <s v="Recovery"/>
    <n v="200"/>
    <s v="AHY"/>
    <s v="M"/>
    <n v="11"/>
    <n v="2013"/>
    <n v="2013"/>
    <n v="9"/>
    <x v="0"/>
    <s v="9B"/>
    <x v="4"/>
    <n v="1"/>
    <n v="7"/>
    <x v="0"/>
    <x v="0"/>
  </r>
  <r>
    <n v="1032"/>
    <n v="102875065"/>
    <s v="Recovery"/>
    <n v="200"/>
    <s v="AHY"/>
    <s v="M"/>
    <n v="1"/>
    <n v="2007"/>
    <n v="2006"/>
    <n v="2"/>
    <x v="0"/>
    <s v="2B"/>
    <x v="5"/>
    <n v="1"/>
    <n v="7"/>
    <x v="0"/>
    <x v="0"/>
  </r>
  <r>
    <n v="1033"/>
    <n v="102875066"/>
    <s v="Recovery"/>
    <n v="200"/>
    <s v="AHY"/>
    <s v="M"/>
    <n v="9"/>
    <n v="2009"/>
    <n v="2009"/>
    <n v="5"/>
    <x v="0"/>
    <s v="5B"/>
    <x v="8"/>
    <n v="1"/>
    <n v="7"/>
    <x v="0"/>
    <x v="0"/>
  </r>
  <r>
    <n v="1035"/>
    <n v="102875068"/>
    <s v="Recovery"/>
    <n v="200"/>
    <s v="AHY"/>
    <s v="M"/>
    <n v="9"/>
    <n v="2009"/>
    <n v="2009"/>
    <n v="5"/>
    <x v="0"/>
    <s v="5B"/>
    <x v="8"/>
    <n v="1"/>
    <n v="7"/>
    <x v="0"/>
    <x v="0"/>
  </r>
  <r>
    <n v="1036"/>
    <n v="102875069"/>
    <s v="Recovery"/>
    <n v="200"/>
    <s v="AHY"/>
    <s v="F"/>
    <n v="9"/>
    <n v="2007"/>
    <n v="2007"/>
    <n v="3"/>
    <x v="0"/>
    <s v="3B"/>
    <x v="1"/>
    <n v="1"/>
    <n v="7"/>
    <x v="0"/>
    <x v="0"/>
  </r>
  <r>
    <n v="1038"/>
    <n v="102875071"/>
    <s v="Recovery"/>
    <n v="200"/>
    <s v="AHY"/>
    <s v="F"/>
    <n v="2"/>
    <n v="2008"/>
    <n v="2007"/>
    <n v="3"/>
    <x v="0"/>
    <s v="3B"/>
    <x v="1"/>
    <n v="1"/>
    <n v="7"/>
    <x v="0"/>
    <x v="0"/>
  </r>
  <r>
    <n v="1039"/>
    <n v="102875072"/>
    <s v="Recovery"/>
    <n v="200"/>
    <s v="AHY"/>
    <s v="M"/>
    <n v="1"/>
    <n v="2009"/>
    <n v="2008"/>
    <n v="4"/>
    <x v="0"/>
    <s v="4B"/>
    <x v="6"/>
    <n v="1"/>
    <n v="7"/>
    <x v="0"/>
    <x v="0"/>
  </r>
  <r>
    <n v="1040"/>
    <n v="102875073"/>
    <s v="Recovery"/>
    <n v="200"/>
    <s v="AHY"/>
    <s v="F"/>
    <n v="12"/>
    <n v="2009"/>
    <n v="2009"/>
    <n v="5"/>
    <x v="0"/>
    <s v="5B"/>
    <x v="8"/>
    <n v="1"/>
    <n v="7"/>
    <x v="0"/>
    <x v="0"/>
  </r>
  <r>
    <n v="1042"/>
    <n v="102875075"/>
    <s v="Recovery"/>
    <n v="200"/>
    <s v="AHY"/>
    <s v="M"/>
    <n v="1"/>
    <n v="2008"/>
    <n v="2007"/>
    <n v="3"/>
    <x v="0"/>
    <s v="3B"/>
    <x v="1"/>
    <n v="1"/>
    <n v="7"/>
    <x v="0"/>
    <x v="0"/>
  </r>
  <r>
    <n v="1044"/>
    <n v="102875077"/>
    <s v="Recovery"/>
    <n v="200"/>
    <s v="AHY"/>
    <s v="M"/>
    <n v="9"/>
    <n v="2010"/>
    <n v="2010"/>
    <n v="6"/>
    <x v="0"/>
    <s v="6B"/>
    <x v="2"/>
    <n v="1"/>
    <n v="7"/>
    <x v="0"/>
    <x v="0"/>
  </r>
  <r>
    <n v="1045"/>
    <n v="102875078"/>
    <s v="Recovery"/>
    <n v="200"/>
    <s v="AHY"/>
    <s v="M"/>
    <n v="12"/>
    <n v="2012"/>
    <n v="2012"/>
    <n v="8"/>
    <x v="0"/>
    <s v="8B"/>
    <x v="3"/>
    <n v="1"/>
    <n v="7"/>
    <x v="0"/>
    <x v="0"/>
  </r>
  <r>
    <n v="1047"/>
    <n v="102875080"/>
    <s v="Recovery"/>
    <n v="200"/>
    <s v="AHY"/>
    <s v="M"/>
    <n v="1"/>
    <n v="2008"/>
    <n v="2007"/>
    <n v="3"/>
    <x v="0"/>
    <s v="3B"/>
    <x v="1"/>
    <n v="1"/>
    <n v="7"/>
    <x v="0"/>
    <x v="0"/>
  </r>
  <r>
    <n v="1050"/>
    <n v="102875083"/>
    <s v="Recovery"/>
    <n v="200"/>
    <s v="AHY"/>
    <s v="F"/>
    <n v="9"/>
    <n v="2008"/>
    <n v="2008"/>
    <n v="4"/>
    <x v="0"/>
    <s v="4B"/>
    <x v="6"/>
    <n v="1"/>
    <n v="7"/>
    <x v="0"/>
    <x v="0"/>
  </r>
  <r>
    <n v="1052"/>
    <n v="102875085"/>
    <s v="Recovery"/>
    <n v="200"/>
    <s v="AHY"/>
    <s v="F"/>
    <n v="9"/>
    <n v="2010"/>
    <n v="2010"/>
    <n v="6"/>
    <x v="0"/>
    <s v="6B"/>
    <x v="2"/>
    <n v="1"/>
    <n v="7"/>
    <x v="0"/>
    <x v="0"/>
  </r>
  <r>
    <n v="1055"/>
    <n v="102875088"/>
    <s v="Recovery"/>
    <n v="200"/>
    <s v="AHY"/>
    <s v="M"/>
    <n v="9"/>
    <n v="2006"/>
    <n v="2006"/>
    <n v="2"/>
    <x v="0"/>
    <s v="2B"/>
    <x v="5"/>
    <n v="1"/>
    <n v="7"/>
    <x v="0"/>
    <x v="0"/>
  </r>
  <r>
    <n v="1056"/>
    <n v="102875089"/>
    <s v="Recovery"/>
    <n v="200"/>
    <s v="AHY"/>
    <s v="M"/>
    <n v="1"/>
    <n v="2010"/>
    <n v="2009"/>
    <n v="5"/>
    <x v="0"/>
    <s v="5B"/>
    <x v="8"/>
    <n v="1"/>
    <n v="7"/>
    <x v="0"/>
    <x v="0"/>
  </r>
  <r>
    <n v="1059"/>
    <n v="102875092"/>
    <s v="Recovery"/>
    <n v="200"/>
    <s v="AHY"/>
    <s v="M"/>
    <n v="1"/>
    <n v="2010"/>
    <n v="2009"/>
    <n v="5"/>
    <x v="0"/>
    <s v="5B"/>
    <x v="8"/>
    <n v="1"/>
    <n v="7"/>
    <x v="0"/>
    <x v="0"/>
  </r>
  <r>
    <n v="1061"/>
    <n v="102875094"/>
    <s v="Recovery"/>
    <n v="200"/>
    <s v="AHY"/>
    <s v="M"/>
    <n v="9"/>
    <n v="2009"/>
    <n v="2009"/>
    <n v="5"/>
    <x v="0"/>
    <s v="5B"/>
    <x v="8"/>
    <n v="1"/>
    <n v="7"/>
    <x v="0"/>
    <x v="0"/>
  </r>
  <r>
    <n v="1066"/>
    <n v="102875099"/>
    <s v="Recovery"/>
    <n v="200"/>
    <s v="AHY"/>
    <s v="F"/>
    <n v="9"/>
    <n v="2008"/>
    <n v="2008"/>
    <n v="4"/>
    <x v="0"/>
    <s v="4B"/>
    <x v="6"/>
    <n v="1"/>
    <n v="7"/>
    <x v="0"/>
    <x v="0"/>
  </r>
  <r>
    <n v="1067"/>
    <n v="102875100"/>
    <s v="Recovery"/>
    <n v="200"/>
    <s v="AHY"/>
    <s v="F"/>
    <n v="9"/>
    <n v="2010"/>
    <n v="2010"/>
    <n v="6"/>
    <x v="0"/>
    <s v="6B"/>
    <x v="2"/>
    <n v="1"/>
    <n v="7"/>
    <x v="0"/>
    <x v="0"/>
  </r>
  <r>
    <n v="1068"/>
    <n v="102875101"/>
    <s v="Recovery"/>
    <n v="200"/>
    <s v="AHY"/>
    <s v="M"/>
    <n v="9"/>
    <n v="2011"/>
    <n v="2011"/>
    <n v="7"/>
    <x v="0"/>
    <s v="7B"/>
    <x v="9"/>
    <n v="1"/>
    <n v="7"/>
    <x v="0"/>
    <x v="0"/>
  </r>
  <r>
    <n v="1069"/>
    <n v="102875102"/>
    <s v="Recovery"/>
    <n v="200"/>
    <s v="AHY"/>
    <s v="F"/>
    <n v="1"/>
    <n v="2007"/>
    <n v="2006"/>
    <n v="2"/>
    <x v="0"/>
    <s v="2B"/>
    <x v="5"/>
    <n v="1"/>
    <n v="7"/>
    <x v="0"/>
    <x v="0"/>
  </r>
  <r>
    <n v="1070"/>
    <n v="102875103"/>
    <s v="Recovery"/>
    <n v="200"/>
    <s v="AHY"/>
    <s v="M"/>
    <n v="12"/>
    <n v="2009"/>
    <n v="2009"/>
    <n v="5"/>
    <x v="0"/>
    <s v="5B"/>
    <x v="8"/>
    <n v="1"/>
    <n v="7"/>
    <x v="0"/>
    <x v="0"/>
  </r>
  <r>
    <n v="1071"/>
    <n v="102875104"/>
    <s v="Recovery"/>
    <n v="200"/>
    <s v="AHY"/>
    <s v="F"/>
    <n v="1"/>
    <n v="2007"/>
    <n v="2006"/>
    <n v="2"/>
    <x v="0"/>
    <s v="2B"/>
    <x v="5"/>
    <n v="1"/>
    <n v="7"/>
    <x v="0"/>
    <x v="0"/>
  </r>
  <r>
    <n v="1079"/>
    <n v="102875112"/>
    <s v="Recovery"/>
    <n v="200"/>
    <s v="AHY"/>
    <s v="F"/>
    <n v="1"/>
    <n v="2016"/>
    <n v="2015"/>
    <n v="11"/>
    <x v="0"/>
    <s v="11B"/>
    <x v="14"/>
    <n v="1"/>
    <n v="7"/>
    <x v="0"/>
    <x v="0"/>
  </r>
  <r>
    <n v="1080"/>
    <n v="102875113"/>
    <s v="Recovery"/>
    <n v="200"/>
    <s v="AHY"/>
    <s v="F"/>
    <n v="9"/>
    <n v="2010"/>
    <n v="2010"/>
    <n v="6"/>
    <x v="0"/>
    <s v="6B"/>
    <x v="2"/>
    <n v="1"/>
    <n v="7"/>
    <x v="0"/>
    <x v="0"/>
  </r>
  <r>
    <n v="1081"/>
    <n v="102875114"/>
    <s v="Recovery"/>
    <n v="200"/>
    <s v="AHY"/>
    <s v="M"/>
    <n v="12"/>
    <n v="2011"/>
    <n v="2011"/>
    <n v="7"/>
    <x v="0"/>
    <s v="7B"/>
    <x v="9"/>
    <n v="1"/>
    <n v="7"/>
    <x v="0"/>
    <x v="0"/>
  </r>
  <r>
    <n v="1084"/>
    <n v="102875117"/>
    <s v="Recovery"/>
    <n v="200"/>
    <s v="AHY"/>
    <s v="M"/>
    <n v="1"/>
    <n v="2012"/>
    <n v="2011"/>
    <n v="7"/>
    <x v="0"/>
    <s v="7B"/>
    <x v="9"/>
    <n v="1"/>
    <n v="7"/>
    <x v="0"/>
    <x v="0"/>
  </r>
  <r>
    <n v="1085"/>
    <n v="102875118"/>
    <s v="Recovery"/>
    <n v="200"/>
    <s v="AHY"/>
    <s v="M"/>
    <n v="1"/>
    <n v="2007"/>
    <n v="2006"/>
    <n v="2"/>
    <x v="0"/>
    <s v="2B"/>
    <x v="5"/>
    <n v="1"/>
    <n v="7"/>
    <x v="0"/>
    <x v="0"/>
  </r>
  <r>
    <n v="1086"/>
    <n v="102875119"/>
    <s v="Recovery"/>
    <n v="200"/>
    <s v="AHY"/>
    <s v="F"/>
    <n v="10"/>
    <n v="2006"/>
    <n v="2006"/>
    <n v="2"/>
    <x v="0"/>
    <s v="2B"/>
    <x v="5"/>
    <n v="1"/>
    <n v="7"/>
    <x v="0"/>
    <x v="0"/>
  </r>
  <r>
    <n v="1089"/>
    <n v="102875122"/>
    <s v="Recovery"/>
    <n v="200"/>
    <s v="AHY"/>
    <s v="M"/>
    <n v="1"/>
    <n v="2009"/>
    <n v="2008"/>
    <n v="4"/>
    <x v="0"/>
    <s v="4B"/>
    <x v="6"/>
    <n v="1"/>
    <n v="7"/>
    <x v="0"/>
    <x v="0"/>
  </r>
  <r>
    <n v="1093"/>
    <n v="102875126"/>
    <s v="Recovery"/>
    <n v="200"/>
    <s v="AHY"/>
    <s v="F"/>
    <n v="9"/>
    <n v="2006"/>
    <n v="2006"/>
    <n v="2"/>
    <x v="0"/>
    <s v="2B"/>
    <x v="5"/>
    <n v="1"/>
    <n v="7"/>
    <x v="0"/>
    <x v="0"/>
  </r>
  <r>
    <n v="1094"/>
    <n v="102875127"/>
    <s v="Recovery"/>
    <n v="200"/>
    <s v="AHY"/>
    <s v="F"/>
    <n v="1"/>
    <n v="2014"/>
    <n v="2013"/>
    <n v="9"/>
    <x v="0"/>
    <s v="9B"/>
    <x v="4"/>
    <n v="1"/>
    <n v="7"/>
    <x v="0"/>
    <x v="0"/>
  </r>
  <r>
    <n v="1097"/>
    <n v="102875130"/>
    <s v="Recovery"/>
    <n v="200"/>
    <s v="AHY"/>
    <s v="M"/>
    <n v="9"/>
    <n v="2008"/>
    <n v="2008"/>
    <n v="4"/>
    <x v="0"/>
    <s v="4B"/>
    <x v="6"/>
    <n v="1"/>
    <n v="7"/>
    <x v="0"/>
    <x v="0"/>
  </r>
  <r>
    <n v="1102"/>
    <n v="102875135"/>
    <s v="Recovery"/>
    <n v="200"/>
    <s v="AHY"/>
    <s v="M"/>
    <n v="9"/>
    <n v="2006"/>
    <n v="2006"/>
    <n v="2"/>
    <x v="0"/>
    <s v="2B"/>
    <x v="5"/>
    <n v="1"/>
    <n v="7"/>
    <x v="0"/>
    <x v="0"/>
  </r>
  <r>
    <n v="1105"/>
    <n v="102875138"/>
    <s v="Recovery"/>
    <n v="200"/>
    <s v="AHY"/>
    <s v="M"/>
    <n v="9"/>
    <n v="2007"/>
    <n v="2007"/>
    <n v="3"/>
    <x v="0"/>
    <s v="3B"/>
    <x v="1"/>
    <n v="1"/>
    <n v="7"/>
    <x v="0"/>
    <x v="0"/>
  </r>
  <r>
    <n v="1106"/>
    <n v="102875139"/>
    <s v="Recovery"/>
    <n v="200"/>
    <s v="AHY"/>
    <s v="M"/>
    <n v="2"/>
    <n v="2008"/>
    <n v="2007"/>
    <n v="3"/>
    <x v="0"/>
    <s v="3B"/>
    <x v="1"/>
    <n v="1"/>
    <n v="7"/>
    <x v="0"/>
    <x v="0"/>
  </r>
  <r>
    <n v="1107"/>
    <n v="102875140"/>
    <s v="Recovery"/>
    <n v="200"/>
    <s v="AHY"/>
    <s v="M"/>
    <n v="9"/>
    <n v="2009"/>
    <n v="2009"/>
    <n v="5"/>
    <x v="0"/>
    <s v="5B"/>
    <x v="8"/>
    <n v="1"/>
    <n v="7"/>
    <x v="0"/>
    <x v="0"/>
  </r>
  <r>
    <n v="1108"/>
    <n v="102875141"/>
    <s v="Recovery"/>
    <n v="200"/>
    <s v="AHY"/>
    <s v="F"/>
    <n v="11"/>
    <n v="2013"/>
    <n v="2013"/>
    <n v="9"/>
    <x v="0"/>
    <s v="9B"/>
    <x v="4"/>
    <n v="1"/>
    <n v="91"/>
    <x v="5"/>
    <x v="1"/>
  </r>
  <r>
    <n v="1110"/>
    <n v="102875143"/>
    <s v="Recovery"/>
    <n v="200"/>
    <s v="AHY"/>
    <s v="F"/>
    <n v="2"/>
    <n v="2007"/>
    <n v="2006"/>
    <n v="2"/>
    <x v="0"/>
    <s v="2B"/>
    <x v="5"/>
    <n v="1"/>
    <n v="7"/>
    <x v="0"/>
    <x v="0"/>
  </r>
  <r>
    <n v="1114"/>
    <n v="102875147"/>
    <s v="Recovery"/>
    <n v="200"/>
    <s v="AHY"/>
    <s v="F"/>
    <n v="9"/>
    <n v="2009"/>
    <n v="2009"/>
    <n v="5"/>
    <x v="0"/>
    <s v="5B"/>
    <x v="8"/>
    <n v="1"/>
    <n v="7"/>
    <x v="0"/>
    <x v="0"/>
  </r>
  <r>
    <n v="1115"/>
    <n v="102875148"/>
    <s v="Recovery"/>
    <n v="200"/>
    <s v="AHY"/>
    <s v="M"/>
    <n v="1"/>
    <n v="2011"/>
    <n v="2010"/>
    <n v="6"/>
    <x v="0"/>
    <s v="6B"/>
    <x v="2"/>
    <n v="1"/>
    <n v="7"/>
    <x v="0"/>
    <x v="0"/>
  </r>
  <r>
    <n v="1116"/>
    <n v="102875149"/>
    <s v="Recovery"/>
    <n v="200"/>
    <s v="AHY"/>
    <s v="M"/>
    <n v="1"/>
    <n v="2007"/>
    <n v="2006"/>
    <n v="2"/>
    <x v="0"/>
    <s v="2B"/>
    <x v="5"/>
    <n v="1"/>
    <n v="7"/>
    <x v="0"/>
    <x v="0"/>
  </r>
  <r>
    <n v="1118"/>
    <n v="102875151"/>
    <s v="Recovery"/>
    <n v="200"/>
    <s v="AHY"/>
    <s v="F"/>
    <n v="9"/>
    <n v="2008"/>
    <n v="2008"/>
    <n v="4"/>
    <x v="0"/>
    <s v="4B"/>
    <x v="6"/>
    <n v="1"/>
    <n v="7"/>
    <x v="0"/>
    <x v="0"/>
  </r>
  <r>
    <n v="1121"/>
    <n v="102875154"/>
    <s v="Recovery"/>
    <n v="200"/>
    <s v="AHY"/>
    <s v="M"/>
    <n v="1"/>
    <n v="2009"/>
    <n v="2008"/>
    <n v="4"/>
    <x v="0"/>
    <s v="4B"/>
    <x v="6"/>
    <n v="1"/>
    <n v="7"/>
    <x v="0"/>
    <x v="0"/>
  </r>
  <r>
    <n v="1123"/>
    <n v="102875156"/>
    <s v="Recovery"/>
    <n v="200"/>
    <s v="AHY"/>
    <s v="F"/>
    <n v="10"/>
    <n v="2007"/>
    <n v="2007"/>
    <n v="3"/>
    <x v="0"/>
    <s v="3B"/>
    <x v="1"/>
    <n v="1"/>
    <n v="7"/>
    <x v="0"/>
    <x v="0"/>
  </r>
  <r>
    <n v="1124"/>
    <n v="102875157"/>
    <s v="Recovery"/>
    <n v="200"/>
    <s v="AHY"/>
    <s v="M"/>
    <n v="1"/>
    <n v="2007"/>
    <n v="2006"/>
    <n v="2"/>
    <x v="0"/>
    <s v="2B"/>
    <x v="5"/>
    <n v="1"/>
    <n v="7"/>
    <x v="0"/>
    <x v="0"/>
  </r>
  <r>
    <n v="1126"/>
    <n v="102875159"/>
    <s v="Recovery"/>
    <n v="200"/>
    <s v="AHY"/>
    <s v="F"/>
    <n v="1"/>
    <n v="2008"/>
    <n v="2007"/>
    <n v="3"/>
    <x v="0"/>
    <s v="3B"/>
    <x v="1"/>
    <n v="1"/>
    <n v="7"/>
    <x v="0"/>
    <x v="0"/>
  </r>
  <r>
    <n v="1129"/>
    <n v="102875162"/>
    <s v="Recovery"/>
    <n v="200"/>
    <s v="AHY"/>
    <s v="F"/>
    <n v="1"/>
    <n v="2010"/>
    <n v="2009"/>
    <n v="5"/>
    <x v="0"/>
    <s v="5B"/>
    <x v="8"/>
    <n v="1"/>
    <n v="7"/>
    <x v="0"/>
    <x v="0"/>
  </r>
  <r>
    <n v="1130"/>
    <n v="102875163"/>
    <s v="Recovery"/>
    <n v="200"/>
    <s v="AHY"/>
    <s v="F"/>
    <n v="10"/>
    <n v="2018"/>
    <n v="2018"/>
    <n v="14"/>
    <x v="0"/>
    <s v="14B"/>
    <x v="10"/>
    <n v="1"/>
    <n v="7"/>
    <x v="0"/>
    <x v="0"/>
  </r>
  <r>
    <n v="1131"/>
    <n v="102875164"/>
    <s v="Recovery"/>
    <n v="200"/>
    <s v="AHY"/>
    <s v="M"/>
    <n v="1"/>
    <n v="2010"/>
    <n v="2009"/>
    <n v="5"/>
    <x v="0"/>
    <s v="5B"/>
    <x v="8"/>
    <n v="1"/>
    <n v="7"/>
    <x v="0"/>
    <x v="0"/>
  </r>
  <r>
    <n v="1132"/>
    <n v="102875165"/>
    <s v="Recovery"/>
    <n v="200"/>
    <s v="AHY"/>
    <s v="M"/>
    <n v="12"/>
    <n v="2008"/>
    <n v="2008"/>
    <n v="4"/>
    <x v="0"/>
    <s v="4B"/>
    <x v="6"/>
    <n v="1"/>
    <n v="7"/>
    <x v="0"/>
    <x v="0"/>
  </r>
  <r>
    <n v="1135"/>
    <n v="102875168"/>
    <s v="Recovery"/>
    <n v="200"/>
    <s v="AHY"/>
    <s v="F"/>
    <n v="12"/>
    <n v="2010"/>
    <n v="2010"/>
    <n v="6"/>
    <x v="0"/>
    <s v="6B"/>
    <x v="2"/>
    <n v="1"/>
    <n v="7"/>
    <x v="0"/>
    <x v="0"/>
  </r>
  <r>
    <n v="1136"/>
    <n v="102875169"/>
    <s v="Recovery"/>
    <n v="200"/>
    <s v="AHY"/>
    <s v="F"/>
    <n v="9"/>
    <n v="2006"/>
    <n v="2006"/>
    <n v="2"/>
    <x v="0"/>
    <s v="2B"/>
    <x v="5"/>
    <n v="1"/>
    <n v="7"/>
    <x v="0"/>
    <x v="0"/>
  </r>
  <r>
    <n v="1137"/>
    <n v="102875170"/>
    <s v="Recovery"/>
    <n v="200"/>
    <s v="AHY"/>
    <s v="F"/>
    <n v="1"/>
    <n v="2014"/>
    <n v="2013"/>
    <n v="9"/>
    <x v="0"/>
    <s v="9B"/>
    <x v="4"/>
    <n v="1"/>
    <n v="7"/>
    <x v="0"/>
    <x v="0"/>
  </r>
  <r>
    <n v="1139"/>
    <n v="102875172"/>
    <s v="Recovery"/>
    <n v="200"/>
    <s v="AHY"/>
    <s v="F"/>
    <n v="12"/>
    <n v="2007"/>
    <n v="2007"/>
    <n v="3"/>
    <x v="0"/>
    <s v="3B"/>
    <x v="1"/>
    <n v="1"/>
    <n v="7"/>
    <x v="0"/>
    <x v="0"/>
  </r>
  <r>
    <n v="1140"/>
    <n v="102875173"/>
    <s v="Recovery"/>
    <n v="200"/>
    <s v="AHY"/>
    <s v="M"/>
    <n v="11"/>
    <n v="2007"/>
    <n v="2007"/>
    <n v="3"/>
    <x v="0"/>
    <s v="3B"/>
    <x v="1"/>
    <n v="1"/>
    <n v="7"/>
    <x v="0"/>
    <x v="0"/>
  </r>
  <r>
    <n v="1148"/>
    <n v="102875181"/>
    <s v="Recovery"/>
    <n v="200"/>
    <s v="AHY"/>
    <s v="F"/>
    <n v="1"/>
    <n v="2009"/>
    <n v="2008"/>
    <n v="4"/>
    <x v="0"/>
    <s v="4B"/>
    <x v="6"/>
    <n v="1"/>
    <n v="7"/>
    <x v="0"/>
    <x v="0"/>
  </r>
  <r>
    <n v="1155"/>
    <n v="102875188"/>
    <s v="Recovery"/>
    <n v="200"/>
    <s v="AHY"/>
    <s v="M"/>
    <n v="1"/>
    <n v="2008"/>
    <n v="2007"/>
    <n v="3"/>
    <x v="0"/>
    <s v="3B"/>
    <x v="1"/>
    <n v="1"/>
    <n v="7"/>
    <x v="0"/>
    <x v="0"/>
  </r>
  <r>
    <n v="1156"/>
    <n v="102875189"/>
    <s v="Recovery"/>
    <n v="200"/>
    <s v="AHY"/>
    <s v="M"/>
    <n v="9"/>
    <n v="2006"/>
    <n v="2006"/>
    <n v="2"/>
    <x v="0"/>
    <s v="2B"/>
    <x v="5"/>
    <n v="1"/>
    <n v="7"/>
    <x v="0"/>
    <x v="0"/>
  </r>
  <r>
    <n v="1157"/>
    <n v="102875190"/>
    <s v="Recovery"/>
    <n v="200"/>
    <s v="AHY"/>
    <s v="M"/>
    <n v="9"/>
    <n v="2010"/>
    <n v="2010"/>
    <n v="6"/>
    <x v="0"/>
    <s v="6B"/>
    <x v="2"/>
    <n v="1"/>
    <n v="7"/>
    <x v="0"/>
    <x v="0"/>
  </r>
  <r>
    <n v="1160"/>
    <n v="102875193"/>
    <s v="Recovery"/>
    <n v="200"/>
    <s v="AHY"/>
    <s v="M"/>
    <n v="1"/>
    <n v="2007"/>
    <n v="2006"/>
    <n v="2"/>
    <x v="0"/>
    <s v="2B"/>
    <x v="5"/>
    <n v="1"/>
    <n v="7"/>
    <x v="0"/>
    <x v="0"/>
  </r>
  <r>
    <n v="1161"/>
    <n v="102875194"/>
    <s v="Recovery"/>
    <n v="200"/>
    <s v="AHY"/>
    <s v="F"/>
    <n v="1"/>
    <n v="2009"/>
    <n v="2008"/>
    <n v="4"/>
    <x v="0"/>
    <s v="4B"/>
    <x v="6"/>
    <n v="1"/>
    <n v="7"/>
    <x v="0"/>
    <x v="0"/>
  </r>
  <r>
    <n v="1163"/>
    <n v="102875196"/>
    <s v="Recovery"/>
    <n v="200"/>
    <s v="AHY"/>
    <s v="F"/>
    <n v="1"/>
    <n v="2008"/>
    <n v="2007"/>
    <n v="3"/>
    <x v="0"/>
    <s v="3B"/>
    <x v="1"/>
    <n v="1"/>
    <n v="7"/>
    <x v="0"/>
    <x v="0"/>
  </r>
  <r>
    <n v="1167"/>
    <n v="102875200"/>
    <s v="Recovery"/>
    <n v="200"/>
    <s v="AHY"/>
    <s v="F"/>
    <n v="9"/>
    <n v="2007"/>
    <n v="2007"/>
    <n v="3"/>
    <x v="0"/>
    <s v="3B"/>
    <x v="1"/>
    <n v="1"/>
    <n v="7"/>
    <x v="0"/>
    <x v="0"/>
  </r>
  <r>
    <n v="1170"/>
    <n v="102875203"/>
    <s v="Recovery"/>
    <n v="200"/>
    <s v="AHY"/>
    <s v="M"/>
    <n v="12"/>
    <n v="2010"/>
    <n v="2010"/>
    <n v="6"/>
    <x v="0"/>
    <s v="6B"/>
    <x v="2"/>
    <n v="1"/>
    <n v="7"/>
    <x v="0"/>
    <x v="0"/>
  </r>
  <r>
    <n v="1173"/>
    <n v="102875206"/>
    <s v="Recovery"/>
    <n v="200"/>
    <s v="AHY"/>
    <s v="F"/>
    <n v="1"/>
    <n v="2009"/>
    <n v="2008"/>
    <n v="4"/>
    <x v="0"/>
    <s v="4B"/>
    <x v="6"/>
    <n v="1"/>
    <n v="7"/>
    <x v="0"/>
    <x v="0"/>
  </r>
  <r>
    <n v="1177"/>
    <n v="102875210"/>
    <s v="Recovery"/>
    <n v="200"/>
    <s v="AHY"/>
    <s v="M"/>
    <n v="12"/>
    <n v="2011"/>
    <n v="2011"/>
    <n v="7"/>
    <x v="0"/>
    <s v="7B"/>
    <x v="9"/>
    <n v="1"/>
    <n v="35"/>
    <x v="6"/>
    <x v="1"/>
  </r>
  <r>
    <n v="1178"/>
    <n v="102875211"/>
    <s v="Recovery"/>
    <n v="200"/>
    <s v="AHY"/>
    <s v="F"/>
    <n v="1"/>
    <n v="2009"/>
    <n v="2008"/>
    <n v="4"/>
    <x v="0"/>
    <s v="4B"/>
    <x v="6"/>
    <n v="1"/>
    <n v="7"/>
    <x v="0"/>
    <x v="0"/>
  </r>
  <r>
    <n v="1182"/>
    <n v="102875215"/>
    <s v="Recovery"/>
    <n v="200"/>
    <s v="AHY"/>
    <s v="M"/>
    <n v="1"/>
    <n v="2007"/>
    <n v="2006"/>
    <n v="2"/>
    <x v="0"/>
    <s v="2B"/>
    <x v="5"/>
    <n v="1"/>
    <n v="7"/>
    <x v="0"/>
    <x v="0"/>
  </r>
  <r>
    <n v="1187"/>
    <n v="102875220"/>
    <s v="Recovery"/>
    <n v="200"/>
    <s v="AHY"/>
    <s v="M"/>
    <n v="12"/>
    <n v="2010"/>
    <n v="2010"/>
    <n v="6"/>
    <x v="0"/>
    <s v="6B"/>
    <x v="2"/>
    <n v="1"/>
    <n v="7"/>
    <x v="0"/>
    <x v="0"/>
  </r>
  <r>
    <n v="1188"/>
    <n v="102875221"/>
    <s v="Recovery"/>
    <n v="200"/>
    <s v="AHY"/>
    <s v="F"/>
    <n v="9"/>
    <n v="2006"/>
    <n v="2006"/>
    <n v="2"/>
    <x v="0"/>
    <s v="2B"/>
    <x v="5"/>
    <n v="1"/>
    <n v="7"/>
    <x v="0"/>
    <x v="0"/>
  </r>
  <r>
    <n v="1189"/>
    <n v="102875222"/>
    <s v="Recovery"/>
    <n v="200"/>
    <s v="AHY"/>
    <s v="F"/>
    <n v="1"/>
    <n v="2011"/>
    <n v="2010"/>
    <n v="6"/>
    <x v="0"/>
    <s v="6B"/>
    <x v="2"/>
    <n v="1"/>
    <n v="35"/>
    <x v="6"/>
    <x v="1"/>
  </r>
  <r>
    <n v="1191"/>
    <n v="102875224"/>
    <s v="Recovery"/>
    <n v="200"/>
    <s v="AHY"/>
    <s v="F"/>
    <n v="9"/>
    <n v="2015"/>
    <n v="2015"/>
    <n v="11"/>
    <x v="0"/>
    <s v="11B"/>
    <x v="14"/>
    <n v="1"/>
    <n v="7"/>
    <x v="0"/>
    <x v="0"/>
  </r>
  <r>
    <n v="1193"/>
    <n v="102875226"/>
    <s v="Recovery"/>
    <n v="200"/>
    <s v="AHY"/>
    <s v="F"/>
    <n v="9"/>
    <n v="2006"/>
    <n v="2006"/>
    <n v="2"/>
    <x v="0"/>
    <s v="2B"/>
    <x v="5"/>
    <n v="1"/>
    <n v="7"/>
    <x v="0"/>
    <x v="0"/>
  </r>
  <r>
    <n v="1195"/>
    <n v="102875228"/>
    <s v="Recovery"/>
    <n v="200"/>
    <s v="AHY"/>
    <s v="F"/>
    <n v="9"/>
    <n v="2007"/>
    <n v="2007"/>
    <n v="3"/>
    <x v="0"/>
    <s v="3B"/>
    <x v="1"/>
    <n v="1"/>
    <n v="7"/>
    <x v="0"/>
    <x v="0"/>
  </r>
  <r>
    <n v="1197"/>
    <n v="102875230"/>
    <s v="Recovery"/>
    <n v="200"/>
    <s v="AHY"/>
    <s v="M"/>
    <n v="1"/>
    <n v="2007"/>
    <n v="2006"/>
    <n v="2"/>
    <x v="0"/>
    <s v="2B"/>
    <x v="5"/>
    <n v="1"/>
    <n v="7"/>
    <x v="0"/>
    <x v="0"/>
  </r>
  <r>
    <n v="1198"/>
    <n v="102875231"/>
    <s v="Recovery"/>
    <n v="200"/>
    <s v="AHY"/>
    <s v="F"/>
    <n v="12"/>
    <n v="2007"/>
    <n v="2007"/>
    <n v="3"/>
    <x v="0"/>
    <s v="3B"/>
    <x v="1"/>
    <n v="1"/>
    <n v="7"/>
    <x v="0"/>
    <x v="0"/>
  </r>
  <r>
    <n v="1201"/>
    <n v="102875234"/>
    <s v="Recovery"/>
    <n v="200"/>
    <s v="AHY"/>
    <s v="F"/>
    <n v="9"/>
    <n v="2007"/>
    <n v="2007"/>
    <n v="3"/>
    <x v="0"/>
    <s v="3B"/>
    <x v="1"/>
    <n v="1"/>
    <n v="7"/>
    <x v="0"/>
    <x v="0"/>
  </r>
  <r>
    <n v="1205"/>
    <n v="102875238"/>
    <s v="Recovery"/>
    <n v="200"/>
    <s v="AHY"/>
    <s v="F"/>
    <n v="1"/>
    <n v="2016"/>
    <n v="2015"/>
    <n v="11"/>
    <x v="0"/>
    <s v="11B"/>
    <x v="14"/>
    <n v="1"/>
    <n v="7"/>
    <x v="0"/>
    <x v="0"/>
  </r>
  <r>
    <n v="1207"/>
    <n v="102875240"/>
    <s v="Recovery"/>
    <n v="200"/>
    <s v="AHY"/>
    <s v="M"/>
    <n v="9"/>
    <n v="2010"/>
    <n v="2010"/>
    <n v="6"/>
    <x v="0"/>
    <s v="6B"/>
    <x v="2"/>
    <n v="1"/>
    <n v="7"/>
    <x v="0"/>
    <x v="0"/>
  </r>
  <r>
    <n v="1208"/>
    <n v="102875241"/>
    <s v="Recovery"/>
    <n v="200"/>
    <s v="AHY"/>
    <s v="F"/>
    <n v="10"/>
    <n v="2007"/>
    <n v="2007"/>
    <n v="3"/>
    <x v="0"/>
    <s v="3B"/>
    <x v="1"/>
    <n v="1"/>
    <n v="7"/>
    <x v="0"/>
    <x v="0"/>
  </r>
  <r>
    <n v="1210"/>
    <n v="102875243"/>
    <s v="Recovery"/>
    <n v="200"/>
    <s v="HY"/>
    <s v="M"/>
    <n v="9"/>
    <n v="2006"/>
    <n v="2006"/>
    <n v="2"/>
    <x v="0"/>
    <s v="2B"/>
    <x v="5"/>
    <n v="1"/>
    <n v="7"/>
    <x v="0"/>
    <x v="0"/>
  </r>
  <r>
    <n v="1212"/>
    <n v="102875245"/>
    <s v="Recovery"/>
    <n v="200"/>
    <s v="AHY"/>
    <s v="F"/>
    <n v="12"/>
    <n v="2013"/>
    <n v="2013"/>
    <n v="9"/>
    <x v="0"/>
    <s v="9B"/>
    <x v="4"/>
    <n v="1"/>
    <n v="7"/>
    <x v="0"/>
    <x v="0"/>
  </r>
  <r>
    <n v="1213"/>
    <n v="102875246"/>
    <s v="Recovery"/>
    <n v="200"/>
    <s v="AHY"/>
    <s v="F"/>
    <n v="9"/>
    <n v="2011"/>
    <n v="2011"/>
    <n v="7"/>
    <x v="0"/>
    <s v="7B"/>
    <x v="9"/>
    <n v="1"/>
    <n v="7"/>
    <x v="0"/>
    <x v="0"/>
  </r>
  <r>
    <n v="1216"/>
    <n v="102875249"/>
    <s v="Recovery"/>
    <n v="200"/>
    <s v="AHY"/>
    <s v="F"/>
    <n v="1"/>
    <n v="2007"/>
    <n v="2006"/>
    <n v="2"/>
    <x v="0"/>
    <s v="2B"/>
    <x v="5"/>
    <n v="1"/>
    <n v="7"/>
    <x v="0"/>
    <x v="0"/>
  </r>
  <r>
    <n v="1217"/>
    <n v="102875250"/>
    <s v="Recovery"/>
    <n v="200"/>
    <s v="AHY"/>
    <s v="F"/>
    <n v="1"/>
    <n v="2014"/>
    <n v="2013"/>
    <n v="9"/>
    <x v="0"/>
    <s v="9B"/>
    <x v="4"/>
    <n v="1"/>
    <n v="38"/>
    <x v="7"/>
    <x v="1"/>
  </r>
  <r>
    <n v="1220"/>
    <n v="102875253"/>
    <s v="Recovery"/>
    <n v="200"/>
    <s v="AHY"/>
    <s v="F"/>
    <n v="2"/>
    <n v="2008"/>
    <n v="2007"/>
    <n v="3"/>
    <x v="0"/>
    <s v="3B"/>
    <x v="1"/>
    <n v="1"/>
    <n v="7"/>
    <x v="0"/>
    <x v="0"/>
  </r>
  <r>
    <n v="1226"/>
    <n v="102875259"/>
    <s v="Recovery"/>
    <n v="200"/>
    <s v="AHY"/>
    <s v="F"/>
    <n v="9"/>
    <n v="2006"/>
    <n v="2006"/>
    <n v="2"/>
    <x v="0"/>
    <s v="2B"/>
    <x v="5"/>
    <n v="1"/>
    <n v="7"/>
    <x v="0"/>
    <x v="0"/>
  </r>
  <r>
    <n v="1228"/>
    <n v="102875261"/>
    <s v="Recovery"/>
    <n v="200"/>
    <s v="AHY"/>
    <s v="F"/>
    <n v="10"/>
    <n v="2007"/>
    <n v="2007"/>
    <n v="3"/>
    <x v="0"/>
    <s v="3B"/>
    <x v="1"/>
    <n v="1"/>
    <n v="7"/>
    <x v="0"/>
    <x v="0"/>
  </r>
  <r>
    <n v="1232"/>
    <n v="102875265"/>
    <s v="Recovery"/>
    <n v="200"/>
    <s v="AHY"/>
    <s v="M"/>
    <n v="12"/>
    <n v="2009"/>
    <n v="2009"/>
    <n v="5"/>
    <x v="0"/>
    <s v="5B"/>
    <x v="8"/>
    <n v="1"/>
    <n v="27"/>
    <x v="8"/>
    <x v="1"/>
  </r>
  <r>
    <n v="1234"/>
    <n v="102875267"/>
    <s v="Recovery"/>
    <n v="200"/>
    <s v="AHY"/>
    <s v="M"/>
    <n v="12"/>
    <n v="2009"/>
    <n v="2009"/>
    <n v="5"/>
    <x v="0"/>
    <s v="5B"/>
    <x v="8"/>
    <n v="1"/>
    <n v="27"/>
    <x v="8"/>
    <x v="1"/>
  </r>
  <r>
    <n v="1235"/>
    <n v="102875268"/>
    <s v="Recovery"/>
    <n v="200"/>
    <s v="AHY"/>
    <s v="F"/>
    <n v="9"/>
    <n v="2011"/>
    <n v="2011"/>
    <n v="7"/>
    <x v="0"/>
    <s v="7B"/>
    <x v="9"/>
    <n v="1"/>
    <n v="7"/>
    <x v="0"/>
    <x v="0"/>
  </r>
  <r>
    <n v="1238"/>
    <n v="102875271"/>
    <s v="Recovery"/>
    <n v="200"/>
    <s v="AHY"/>
    <s v="F"/>
    <n v="2"/>
    <n v="2008"/>
    <n v="2007"/>
    <n v="3"/>
    <x v="0"/>
    <s v="3B"/>
    <x v="1"/>
    <n v="1"/>
    <n v="7"/>
    <x v="0"/>
    <x v="0"/>
  </r>
  <r>
    <n v="1240"/>
    <n v="102875273"/>
    <s v="Recovery"/>
    <n v="200"/>
    <s v="AHY"/>
    <s v="F"/>
    <n v="10"/>
    <n v="2015"/>
    <n v="2015"/>
    <n v="11"/>
    <x v="0"/>
    <s v="11B"/>
    <x v="14"/>
    <n v="1"/>
    <n v="34"/>
    <x v="9"/>
    <x v="1"/>
  </r>
  <r>
    <n v="1241"/>
    <n v="102875274"/>
    <s v="Recovery"/>
    <n v="200"/>
    <s v="AHY"/>
    <s v="F"/>
    <n v="10"/>
    <n v="2019"/>
    <n v="2019"/>
    <n v="15"/>
    <x v="0"/>
    <s v="15B"/>
    <x v="11"/>
    <n v="1"/>
    <n v="66"/>
    <x v="10"/>
    <x v="1"/>
  </r>
  <r>
    <n v="1260"/>
    <n v="102875293"/>
    <s v="Recovery"/>
    <n v="200"/>
    <s v="AHY"/>
    <s v="F"/>
    <n v="1"/>
    <n v="2009"/>
    <n v="2008"/>
    <n v="4"/>
    <x v="0"/>
    <s v="4B"/>
    <x v="6"/>
    <n v="1"/>
    <n v="7"/>
    <x v="0"/>
    <x v="0"/>
  </r>
  <r>
    <n v="1263"/>
    <n v="102875296"/>
    <s v="Recovery"/>
    <n v="200"/>
    <s v="AHY"/>
    <s v="F"/>
    <n v="11"/>
    <n v="2013"/>
    <n v="2013"/>
    <n v="9"/>
    <x v="0"/>
    <s v="9B"/>
    <x v="4"/>
    <n v="1"/>
    <n v="50"/>
    <x v="3"/>
    <x v="1"/>
  </r>
  <r>
    <n v="1265"/>
    <n v="102875298"/>
    <s v="Recovery"/>
    <n v="200"/>
    <s v="AHY"/>
    <s v="M"/>
    <n v="1"/>
    <n v="2007"/>
    <n v="2006"/>
    <n v="2"/>
    <x v="0"/>
    <s v="2B"/>
    <x v="5"/>
    <n v="1"/>
    <n v="7"/>
    <x v="0"/>
    <x v="0"/>
  </r>
  <r>
    <n v="1275"/>
    <n v="102875308"/>
    <s v="Recovery"/>
    <n v="200"/>
    <s v="AHY"/>
    <s v="F"/>
    <n v="1"/>
    <n v="2007"/>
    <n v="2006"/>
    <n v="2"/>
    <x v="0"/>
    <s v="2B"/>
    <x v="5"/>
    <n v="1"/>
    <n v="7"/>
    <x v="0"/>
    <x v="0"/>
  </r>
  <r>
    <n v="1280"/>
    <n v="102875313"/>
    <s v="Recovery"/>
    <n v="200"/>
    <s v="AHY"/>
    <s v="F"/>
    <n v="1"/>
    <n v="2009"/>
    <n v="2008"/>
    <n v="4"/>
    <x v="0"/>
    <s v="4B"/>
    <x v="6"/>
    <n v="1"/>
    <n v="7"/>
    <x v="0"/>
    <x v="0"/>
  </r>
  <r>
    <n v="1288"/>
    <n v="102875321"/>
    <s v="Recovery"/>
    <n v="200"/>
    <s v="AHY"/>
    <s v="F"/>
    <n v="9"/>
    <n v="2019"/>
    <n v="2019"/>
    <n v="15"/>
    <x v="0"/>
    <s v="15B"/>
    <x v="11"/>
    <n v="1"/>
    <n v="66"/>
    <x v="10"/>
    <x v="1"/>
  </r>
  <r>
    <n v="1289"/>
    <n v="102875322"/>
    <s v="Recovery"/>
    <n v="200"/>
    <s v="AHY"/>
    <s v="F"/>
    <n v="11"/>
    <n v="2013"/>
    <n v="2013"/>
    <n v="9"/>
    <x v="0"/>
    <s v="9B"/>
    <x v="4"/>
    <n v="1"/>
    <n v="50"/>
    <x v="3"/>
    <x v="1"/>
  </r>
  <r>
    <n v="1295"/>
    <n v="102875328"/>
    <s v="Recovery"/>
    <n v="200"/>
    <s v="AHY"/>
    <s v="M"/>
    <n v="12"/>
    <n v="2010"/>
    <n v="2010"/>
    <n v="6"/>
    <x v="0"/>
    <s v="6B"/>
    <x v="2"/>
    <n v="1"/>
    <n v="52"/>
    <x v="11"/>
    <x v="1"/>
  </r>
  <r>
    <n v="1297"/>
    <n v="102875330"/>
    <s v="Recovery"/>
    <n v="200"/>
    <s v="AHY"/>
    <s v="F"/>
    <n v="9"/>
    <n v="2007"/>
    <n v="2007"/>
    <n v="3"/>
    <x v="0"/>
    <s v="3B"/>
    <x v="1"/>
    <n v="1"/>
    <n v="7"/>
    <x v="0"/>
    <x v="0"/>
  </r>
  <r>
    <n v="1304"/>
    <n v="102875337"/>
    <s v="Recovery"/>
    <n v="200"/>
    <s v="AHY"/>
    <s v="M"/>
    <n v="9"/>
    <n v="2008"/>
    <n v="2008"/>
    <n v="4"/>
    <x v="0"/>
    <s v="4B"/>
    <x v="6"/>
    <n v="1"/>
    <n v="7"/>
    <x v="0"/>
    <x v="0"/>
  </r>
  <r>
    <n v="1307"/>
    <n v="102875340"/>
    <s v="Recovery"/>
    <n v="200"/>
    <s v="AHY"/>
    <s v="M"/>
    <n v="1"/>
    <n v="2007"/>
    <n v="2006"/>
    <n v="2"/>
    <x v="0"/>
    <s v="2B"/>
    <x v="5"/>
    <n v="1"/>
    <n v="7"/>
    <x v="0"/>
    <x v="0"/>
  </r>
  <r>
    <n v="1308"/>
    <n v="102875341"/>
    <s v="Recovery"/>
    <n v="200"/>
    <s v="AHY"/>
    <s v="F"/>
    <n v="12"/>
    <n v="2010"/>
    <n v="2010"/>
    <n v="6"/>
    <x v="0"/>
    <s v="6B"/>
    <x v="2"/>
    <n v="1"/>
    <n v="7"/>
    <x v="0"/>
    <x v="0"/>
  </r>
  <r>
    <n v="1314"/>
    <n v="102875347"/>
    <s v="Recovery"/>
    <n v="200"/>
    <s v="AHY"/>
    <s v="F"/>
    <n v="2"/>
    <n v="2007"/>
    <n v="2006"/>
    <n v="2"/>
    <x v="0"/>
    <s v="2B"/>
    <x v="5"/>
    <n v="1"/>
    <n v="7"/>
    <x v="0"/>
    <x v="0"/>
  </r>
  <r>
    <n v="1316"/>
    <n v="102875349"/>
    <s v="Recovery"/>
    <n v="200"/>
    <s v="AHY"/>
    <s v="F"/>
    <n v="9"/>
    <n v="2017"/>
    <n v="2017"/>
    <n v="13"/>
    <x v="0"/>
    <s v="13B"/>
    <x v="13"/>
    <n v="1"/>
    <n v="7"/>
    <x v="0"/>
    <x v="0"/>
  </r>
  <r>
    <n v="1317"/>
    <n v="102875350"/>
    <s v="Recovery"/>
    <n v="200"/>
    <s v="AHY"/>
    <s v="F"/>
    <n v="12"/>
    <n v="2011"/>
    <n v="2011"/>
    <n v="7"/>
    <x v="0"/>
    <s v="7B"/>
    <x v="9"/>
    <n v="1"/>
    <n v="36"/>
    <x v="12"/>
    <x v="1"/>
  </r>
  <r>
    <n v="1318"/>
    <n v="102875351"/>
    <s v="Recovery"/>
    <n v="200"/>
    <s v="AHY"/>
    <s v="M"/>
    <n v="9"/>
    <n v="2007"/>
    <n v="2007"/>
    <n v="3"/>
    <x v="0"/>
    <s v="3B"/>
    <x v="1"/>
    <n v="1"/>
    <n v="7"/>
    <x v="0"/>
    <x v="0"/>
  </r>
  <r>
    <n v="1319"/>
    <n v="102875352"/>
    <s v="Recovery"/>
    <n v="200"/>
    <s v="AHY"/>
    <s v="F"/>
    <n v="1"/>
    <n v="2009"/>
    <n v="2008"/>
    <n v="4"/>
    <x v="0"/>
    <s v="4B"/>
    <x v="6"/>
    <n v="1"/>
    <n v="7"/>
    <x v="0"/>
    <x v="0"/>
  </r>
  <r>
    <n v="1321"/>
    <n v="102875354"/>
    <s v="Recovery"/>
    <n v="200"/>
    <s v="AHY"/>
    <s v="F"/>
    <n v="1"/>
    <n v="2009"/>
    <n v="2008"/>
    <n v="4"/>
    <x v="0"/>
    <s v="4B"/>
    <x v="6"/>
    <n v="1"/>
    <n v="7"/>
    <x v="0"/>
    <x v="0"/>
  </r>
  <r>
    <n v="1322"/>
    <n v="102875355"/>
    <s v="Recovery"/>
    <n v="200"/>
    <s v="AHY"/>
    <s v="M"/>
    <n v="9"/>
    <n v="2007"/>
    <n v="2007"/>
    <n v="3"/>
    <x v="0"/>
    <s v="3B"/>
    <x v="1"/>
    <n v="1"/>
    <n v="7"/>
    <x v="0"/>
    <x v="0"/>
  </r>
  <r>
    <n v="1323"/>
    <n v="102875356"/>
    <s v="Recovery"/>
    <n v="200"/>
    <s v="AHY"/>
    <s v="F"/>
    <n v="1"/>
    <n v="2009"/>
    <n v="2008"/>
    <n v="4"/>
    <x v="0"/>
    <s v="4B"/>
    <x v="6"/>
    <n v="1"/>
    <n v="7"/>
    <x v="0"/>
    <x v="0"/>
  </r>
  <r>
    <n v="1324"/>
    <n v="102875357"/>
    <s v="Recovery"/>
    <n v="200"/>
    <s v="AHY"/>
    <s v="M"/>
    <n v="9"/>
    <n v="2009"/>
    <n v="2009"/>
    <n v="5"/>
    <x v="0"/>
    <s v="5B"/>
    <x v="8"/>
    <n v="1"/>
    <n v="7"/>
    <x v="0"/>
    <x v="0"/>
  </r>
  <r>
    <n v="1325"/>
    <n v="102875358"/>
    <s v="Recovery"/>
    <n v="200"/>
    <s v="AHY"/>
    <s v="M"/>
    <n v="9"/>
    <n v="2008"/>
    <n v="2008"/>
    <n v="4"/>
    <x v="0"/>
    <s v="4B"/>
    <x v="6"/>
    <n v="1"/>
    <n v="7"/>
    <x v="0"/>
    <x v="0"/>
  </r>
  <r>
    <n v="1327"/>
    <n v="102875360"/>
    <s v="Recovery"/>
    <n v="200"/>
    <s v="HY"/>
    <s v="M"/>
    <n v="1"/>
    <n v="2007"/>
    <n v="2006"/>
    <n v="2"/>
    <x v="0"/>
    <s v="2B"/>
    <x v="5"/>
    <n v="1"/>
    <n v="7"/>
    <x v="0"/>
    <x v="0"/>
  </r>
  <r>
    <n v="1330"/>
    <n v="102875363"/>
    <s v="Recovery"/>
    <n v="200"/>
    <s v="AHY"/>
    <s v="M"/>
    <n v="2"/>
    <n v="2014"/>
    <n v="2013"/>
    <n v="9"/>
    <x v="0"/>
    <s v="9B"/>
    <x v="4"/>
    <n v="1"/>
    <n v="80"/>
    <x v="13"/>
    <x v="1"/>
  </r>
  <r>
    <n v="1332"/>
    <n v="102875365"/>
    <s v="Recovery"/>
    <n v="200"/>
    <s v="AHY"/>
    <s v="F"/>
    <n v="1"/>
    <n v="2007"/>
    <n v="2006"/>
    <n v="2"/>
    <x v="0"/>
    <s v="2B"/>
    <x v="5"/>
    <n v="1"/>
    <n v="7"/>
    <x v="0"/>
    <x v="0"/>
  </r>
  <r>
    <n v="1335"/>
    <n v="102875368"/>
    <s v="Recovery"/>
    <n v="200"/>
    <s v="AHY"/>
    <s v="F"/>
    <n v="12"/>
    <n v="2006"/>
    <n v="2006"/>
    <n v="2"/>
    <x v="0"/>
    <s v="2B"/>
    <x v="5"/>
    <n v="1"/>
    <n v="7"/>
    <x v="0"/>
    <x v="0"/>
  </r>
  <r>
    <n v="1336"/>
    <n v="102875369"/>
    <s v="Recovery"/>
    <n v="200"/>
    <s v="AHY"/>
    <s v="F"/>
    <n v="1"/>
    <n v="2009"/>
    <n v="2008"/>
    <n v="4"/>
    <x v="0"/>
    <s v="4B"/>
    <x v="6"/>
    <n v="1"/>
    <n v="7"/>
    <x v="0"/>
    <x v="0"/>
  </r>
  <r>
    <n v="1337"/>
    <n v="102875370"/>
    <s v="Recovery"/>
    <n v="200"/>
    <s v="AHY"/>
    <s v="F"/>
    <n v="1"/>
    <n v="2007"/>
    <n v="2006"/>
    <n v="2"/>
    <x v="0"/>
    <s v="2B"/>
    <x v="5"/>
    <n v="1"/>
    <n v="7"/>
    <x v="0"/>
    <x v="0"/>
  </r>
  <r>
    <n v="1339"/>
    <n v="102875372"/>
    <s v="Recovery"/>
    <n v="200"/>
    <s v="AHY"/>
    <s v="M"/>
    <n v="10"/>
    <n v="2009"/>
    <n v="2009"/>
    <n v="5"/>
    <x v="0"/>
    <s v="5B"/>
    <x v="8"/>
    <n v="1"/>
    <n v="7"/>
    <x v="0"/>
    <x v="0"/>
  </r>
  <r>
    <n v="1340"/>
    <n v="102875373"/>
    <s v="Recovery"/>
    <n v="200"/>
    <s v="AHY"/>
    <s v="M"/>
    <n v="1"/>
    <n v="2007"/>
    <n v="2006"/>
    <n v="2"/>
    <x v="0"/>
    <s v="2B"/>
    <x v="5"/>
    <n v="1"/>
    <n v="7"/>
    <x v="0"/>
    <x v="0"/>
  </r>
  <r>
    <n v="1348"/>
    <n v="102875381"/>
    <s v="Recovery"/>
    <n v="200"/>
    <s v="AHY"/>
    <s v="F"/>
    <n v="9"/>
    <n v="2007"/>
    <n v="2007"/>
    <n v="3"/>
    <x v="0"/>
    <s v="3B"/>
    <x v="1"/>
    <n v="1"/>
    <n v="7"/>
    <x v="0"/>
    <x v="0"/>
  </r>
  <r>
    <n v="1354"/>
    <n v="102875387"/>
    <s v="Recovery"/>
    <n v="200"/>
    <s v="AHY"/>
    <s v="F"/>
    <n v="9"/>
    <n v="2008"/>
    <n v="2008"/>
    <n v="4"/>
    <x v="0"/>
    <s v="4B"/>
    <x v="6"/>
    <n v="1"/>
    <n v="7"/>
    <x v="0"/>
    <x v="0"/>
  </r>
  <r>
    <n v="1355"/>
    <n v="102875388"/>
    <s v="Recovery"/>
    <n v="200"/>
    <s v="AHY"/>
    <s v="F"/>
    <n v="9"/>
    <n v="2010"/>
    <n v="2010"/>
    <n v="6"/>
    <x v="0"/>
    <s v="6B"/>
    <x v="2"/>
    <n v="1"/>
    <n v="7"/>
    <x v="0"/>
    <x v="0"/>
  </r>
  <r>
    <n v="1356"/>
    <n v="102875389"/>
    <s v="Recovery"/>
    <n v="200"/>
    <s v="AHY"/>
    <s v="M"/>
    <n v="9"/>
    <n v="2007"/>
    <n v="2007"/>
    <n v="3"/>
    <x v="0"/>
    <s v="3B"/>
    <x v="1"/>
    <n v="1"/>
    <n v="7"/>
    <x v="0"/>
    <x v="0"/>
  </r>
  <r>
    <n v="1357"/>
    <n v="102875390"/>
    <s v="Recovery"/>
    <n v="200"/>
    <s v="AHY"/>
    <s v="M"/>
    <n v="2"/>
    <n v="2007"/>
    <n v="2006"/>
    <n v="2"/>
    <x v="0"/>
    <s v="2B"/>
    <x v="5"/>
    <n v="1"/>
    <n v="7"/>
    <x v="0"/>
    <x v="0"/>
  </r>
  <r>
    <n v="1358"/>
    <n v="102875391"/>
    <s v="Recovery"/>
    <n v="200"/>
    <s v="AHY"/>
    <s v="M"/>
    <n v="1"/>
    <n v="2008"/>
    <n v="2007"/>
    <n v="3"/>
    <x v="0"/>
    <s v="3B"/>
    <x v="1"/>
    <n v="1"/>
    <n v="7"/>
    <x v="0"/>
    <x v="0"/>
  </r>
  <r>
    <n v="1359"/>
    <n v="102875392"/>
    <s v="Recovery"/>
    <n v="200"/>
    <s v="AHY"/>
    <s v="M"/>
    <n v="9"/>
    <n v="2009"/>
    <n v="2009"/>
    <n v="5"/>
    <x v="0"/>
    <s v="5B"/>
    <x v="8"/>
    <n v="1"/>
    <n v="7"/>
    <x v="0"/>
    <x v="0"/>
  </r>
  <r>
    <n v="1364"/>
    <n v="102875397"/>
    <s v="Recovery"/>
    <n v="200"/>
    <s v="AHY"/>
    <s v="M"/>
    <n v="1"/>
    <n v="2007"/>
    <n v="2006"/>
    <n v="2"/>
    <x v="0"/>
    <s v="2B"/>
    <x v="5"/>
    <n v="1"/>
    <n v="7"/>
    <x v="0"/>
    <x v="0"/>
  </r>
  <r>
    <n v="1365"/>
    <n v="102875398"/>
    <s v="Recovery"/>
    <n v="200"/>
    <s v="AHY"/>
    <s v="F"/>
    <n v="9"/>
    <n v="2011"/>
    <n v="2011"/>
    <n v="7"/>
    <x v="0"/>
    <s v="7B"/>
    <x v="9"/>
    <n v="1"/>
    <n v="7"/>
    <x v="0"/>
    <x v="0"/>
  </r>
  <r>
    <n v="1368"/>
    <n v="102875401"/>
    <s v="Recovery"/>
    <n v="200"/>
    <s v="AHY"/>
    <s v="M"/>
    <n v="1"/>
    <n v="2007"/>
    <n v="2006"/>
    <n v="2"/>
    <x v="0"/>
    <s v="2B"/>
    <x v="5"/>
    <n v="1"/>
    <n v="7"/>
    <x v="0"/>
    <x v="0"/>
  </r>
  <r>
    <n v="1369"/>
    <n v="102875402"/>
    <s v="Recovery"/>
    <n v="200"/>
    <s v="AHY"/>
    <s v="F"/>
    <n v="11"/>
    <n v="2014"/>
    <n v="2014"/>
    <n v="10"/>
    <x v="0"/>
    <s v="10B"/>
    <x v="7"/>
    <n v="1"/>
    <n v="7"/>
    <x v="0"/>
    <x v="0"/>
  </r>
  <r>
    <n v="1371"/>
    <n v="102875404"/>
    <s v="Recovery"/>
    <n v="200"/>
    <s v="AHY"/>
    <s v="M"/>
    <n v="1"/>
    <n v="2009"/>
    <n v="2008"/>
    <n v="4"/>
    <x v="0"/>
    <s v="4B"/>
    <x v="6"/>
    <n v="1"/>
    <n v="7"/>
    <x v="0"/>
    <x v="0"/>
  </r>
  <r>
    <n v="1374"/>
    <n v="102875407"/>
    <s v="Recovery"/>
    <n v="200"/>
    <s v="AHY"/>
    <s v="F"/>
    <n v="9"/>
    <n v="2013"/>
    <n v="2013"/>
    <n v="9"/>
    <x v="0"/>
    <s v="9B"/>
    <x v="4"/>
    <n v="1"/>
    <n v="7"/>
    <x v="0"/>
    <x v="0"/>
  </r>
  <r>
    <n v="1375"/>
    <n v="102875408"/>
    <s v="Recovery"/>
    <n v="200"/>
    <s v="AHY"/>
    <s v="M"/>
    <n v="1"/>
    <n v="2008"/>
    <n v="2007"/>
    <n v="3"/>
    <x v="0"/>
    <s v="3B"/>
    <x v="1"/>
    <n v="1"/>
    <n v="7"/>
    <x v="0"/>
    <x v="0"/>
  </r>
  <r>
    <n v="1376"/>
    <n v="102875409"/>
    <s v="Recovery"/>
    <n v="200"/>
    <s v="AHY"/>
    <s v="F"/>
    <n v="1"/>
    <n v="2007"/>
    <n v="2006"/>
    <n v="2"/>
    <x v="0"/>
    <s v="2B"/>
    <x v="5"/>
    <n v="1"/>
    <n v="7"/>
    <x v="0"/>
    <x v="0"/>
  </r>
  <r>
    <n v="1377"/>
    <n v="102875410"/>
    <s v="Recovery"/>
    <n v="200"/>
    <s v="AHY"/>
    <s v="M"/>
    <n v="1"/>
    <n v="2010"/>
    <n v="2009"/>
    <n v="5"/>
    <x v="0"/>
    <s v="5B"/>
    <x v="8"/>
    <n v="1"/>
    <n v="7"/>
    <x v="0"/>
    <x v="0"/>
  </r>
  <r>
    <n v="1379"/>
    <n v="102875412"/>
    <s v="Recovery"/>
    <n v="200"/>
    <s v="AHY"/>
    <s v="M"/>
    <n v="1"/>
    <n v="2008"/>
    <n v="2007"/>
    <n v="3"/>
    <x v="0"/>
    <s v="3B"/>
    <x v="1"/>
    <n v="1"/>
    <n v="7"/>
    <x v="0"/>
    <x v="0"/>
  </r>
  <r>
    <n v="1382"/>
    <n v="102875415"/>
    <s v="Recovery"/>
    <n v="200"/>
    <s v="AHY"/>
    <s v="M"/>
    <n v="9"/>
    <n v="2009"/>
    <n v="2009"/>
    <n v="5"/>
    <x v="0"/>
    <s v="5B"/>
    <x v="8"/>
    <n v="1"/>
    <n v="7"/>
    <x v="0"/>
    <x v="0"/>
  </r>
  <r>
    <n v="1385"/>
    <n v="102875418"/>
    <s v="Recovery"/>
    <n v="200"/>
    <s v="AHY"/>
    <s v="F"/>
    <n v="2"/>
    <n v="2007"/>
    <n v="2006"/>
    <n v="2"/>
    <x v="0"/>
    <s v="2B"/>
    <x v="5"/>
    <n v="1"/>
    <n v="7"/>
    <x v="0"/>
    <x v="0"/>
  </r>
  <r>
    <n v="1391"/>
    <n v="102875424"/>
    <s v="Recovery"/>
    <n v="200"/>
    <s v="AHY"/>
    <s v="F"/>
    <n v="12"/>
    <n v="2010"/>
    <n v="2010"/>
    <n v="6"/>
    <x v="0"/>
    <s v="6B"/>
    <x v="2"/>
    <n v="1"/>
    <n v="7"/>
    <x v="0"/>
    <x v="0"/>
  </r>
  <r>
    <n v="1392"/>
    <n v="102875425"/>
    <s v="Recovery"/>
    <n v="200"/>
    <s v="AHY"/>
    <s v="F"/>
    <n v="11"/>
    <n v="2010"/>
    <n v="2010"/>
    <n v="6"/>
    <x v="0"/>
    <s v="6B"/>
    <x v="2"/>
    <n v="1"/>
    <n v="7"/>
    <x v="0"/>
    <x v="0"/>
  </r>
  <r>
    <n v="1393"/>
    <n v="102875426"/>
    <s v="Recovery"/>
    <n v="200"/>
    <s v="AHY"/>
    <s v="M"/>
    <n v="1"/>
    <n v="2013"/>
    <n v="2012"/>
    <n v="8"/>
    <x v="0"/>
    <s v="8B"/>
    <x v="3"/>
    <n v="1"/>
    <n v="7"/>
    <x v="0"/>
    <x v="0"/>
  </r>
  <r>
    <n v="1394"/>
    <n v="102875427"/>
    <s v="Recovery"/>
    <n v="200"/>
    <s v="AHY"/>
    <s v="M"/>
    <n v="9"/>
    <n v="2014"/>
    <n v="2014"/>
    <n v="10"/>
    <x v="0"/>
    <s v="10B"/>
    <x v="7"/>
    <n v="1"/>
    <n v="7"/>
    <x v="0"/>
    <x v="0"/>
  </r>
  <r>
    <n v="1395"/>
    <n v="102875428"/>
    <s v="Recovery"/>
    <n v="200"/>
    <s v="AHY"/>
    <s v="M"/>
    <n v="1"/>
    <n v="2008"/>
    <n v="2007"/>
    <n v="3"/>
    <x v="0"/>
    <s v="3B"/>
    <x v="1"/>
    <n v="1"/>
    <n v="7"/>
    <x v="0"/>
    <x v="0"/>
  </r>
  <r>
    <n v="1396"/>
    <n v="102875429"/>
    <s v="Recovery"/>
    <n v="200"/>
    <s v="AHY"/>
    <s v="F"/>
    <n v="1"/>
    <n v="2009"/>
    <n v="2008"/>
    <n v="4"/>
    <x v="0"/>
    <s v="4B"/>
    <x v="6"/>
    <n v="1"/>
    <n v="7"/>
    <x v="0"/>
    <x v="0"/>
  </r>
  <r>
    <n v="1398"/>
    <n v="102875431"/>
    <s v="Recovery"/>
    <n v="200"/>
    <s v="AHY"/>
    <s v="M"/>
    <n v="9"/>
    <n v="2010"/>
    <n v="2010"/>
    <n v="6"/>
    <x v="0"/>
    <s v="6B"/>
    <x v="2"/>
    <n v="1"/>
    <n v="7"/>
    <x v="0"/>
    <x v="0"/>
  </r>
  <r>
    <n v="1399"/>
    <n v="102875432"/>
    <s v="Recovery"/>
    <n v="200"/>
    <s v="AHY"/>
    <s v="F"/>
    <n v="9"/>
    <n v="2009"/>
    <n v="2009"/>
    <n v="5"/>
    <x v="0"/>
    <s v="5B"/>
    <x v="8"/>
    <n v="1"/>
    <n v="7"/>
    <x v="0"/>
    <x v="0"/>
  </r>
  <r>
    <n v="1402"/>
    <n v="102875435"/>
    <s v="Recovery"/>
    <n v="200"/>
    <s v="AHY"/>
    <s v="F"/>
    <n v="9"/>
    <n v="2009"/>
    <n v="2009"/>
    <n v="5"/>
    <x v="0"/>
    <s v="5B"/>
    <x v="8"/>
    <n v="1"/>
    <n v="7"/>
    <x v="0"/>
    <x v="0"/>
  </r>
  <r>
    <n v="1403"/>
    <n v="102875436"/>
    <s v="Recovery"/>
    <n v="200"/>
    <s v="AHY"/>
    <s v="M"/>
    <n v="9"/>
    <n v="2007"/>
    <n v="2007"/>
    <n v="3"/>
    <x v="0"/>
    <s v="3B"/>
    <x v="1"/>
    <n v="1"/>
    <n v="7"/>
    <x v="0"/>
    <x v="0"/>
  </r>
  <r>
    <n v="1407"/>
    <n v="102875440"/>
    <s v="Recovery"/>
    <n v="200"/>
    <s v="AHY"/>
    <s v="M"/>
    <n v="12"/>
    <n v="2008"/>
    <n v="2008"/>
    <n v="4"/>
    <x v="0"/>
    <s v="4B"/>
    <x v="6"/>
    <n v="1"/>
    <n v="7"/>
    <x v="0"/>
    <x v="0"/>
  </r>
  <r>
    <n v="1408"/>
    <n v="102875441"/>
    <s v="Recovery"/>
    <n v="200"/>
    <s v="AHY"/>
    <s v="M"/>
    <n v="9"/>
    <n v="2007"/>
    <n v="2007"/>
    <n v="3"/>
    <x v="0"/>
    <s v="3B"/>
    <x v="1"/>
    <n v="1"/>
    <n v="7"/>
    <x v="0"/>
    <x v="0"/>
  </r>
  <r>
    <n v="1410"/>
    <n v="102875443"/>
    <s v="Recovery"/>
    <n v="200"/>
    <s v="AHY"/>
    <s v="M"/>
    <n v="1"/>
    <n v="2008"/>
    <n v="2007"/>
    <n v="3"/>
    <x v="0"/>
    <s v="3B"/>
    <x v="1"/>
    <n v="1"/>
    <n v="7"/>
    <x v="0"/>
    <x v="0"/>
  </r>
  <r>
    <n v="1412"/>
    <n v="102875445"/>
    <s v="Recovery"/>
    <n v="200"/>
    <s v="AHY"/>
    <s v="F"/>
    <n v="1"/>
    <n v="2009"/>
    <n v="2008"/>
    <n v="4"/>
    <x v="0"/>
    <s v="4B"/>
    <x v="6"/>
    <n v="1"/>
    <n v="7"/>
    <x v="0"/>
    <x v="0"/>
  </r>
  <r>
    <n v="1413"/>
    <n v="102875446"/>
    <s v="Recovery"/>
    <n v="200"/>
    <s v="AHY"/>
    <s v="M"/>
    <n v="9"/>
    <n v="2017"/>
    <n v="2017"/>
    <n v="13"/>
    <x v="0"/>
    <s v="13B"/>
    <x v="13"/>
    <n v="1"/>
    <n v="7"/>
    <x v="0"/>
    <x v="0"/>
  </r>
  <r>
    <n v="1415"/>
    <n v="102875448"/>
    <s v="Recovery"/>
    <n v="200"/>
    <s v="AHY"/>
    <s v="F"/>
    <n v="1"/>
    <n v="2008"/>
    <n v="2007"/>
    <n v="3"/>
    <x v="0"/>
    <s v="3B"/>
    <x v="1"/>
    <n v="1"/>
    <n v="7"/>
    <x v="0"/>
    <x v="0"/>
  </r>
  <r>
    <n v="1420"/>
    <n v="102875453"/>
    <s v="Recovery"/>
    <n v="200"/>
    <s v="AHY"/>
    <s v="M"/>
    <n v="1"/>
    <n v="2008"/>
    <n v="2007"/>
    <n v="3"/>
    <x v="0"/>
    <s v="3B"/>
    <x v="1"/>
    <n v="1"/>
    <n v="7"/>
    <x v="0"/>
    <x v="0"/>
  </r>
  <r>
    <n v="1421"/>
    <n v="102875454"/>
    <s v="Recovery"/>
    <n v="200"/>
    <s v="AHY"/>
    <s v="M"/>
    <n v="1"/>
    <n v="2007"/>
    <n v="2006"/>
    <n v="2"/>
    <x v="0"/>
    <s v="2B"/>
    <x v="5"/>
    <n v="1"/>
    <n v="7"/>
    <x v="0"/>
    <x v="0"/>
  </r>
  <r>
    <n v="1422"/>
    <n v="102875455"/>
    <s v="Recovery"/>
    <n v="200"/>
    <s v="AHY"/>
    <s v="F"/>
    <n v="2"/>
    <n v="2007"/>
    <n v="2006"/>
    <n v="2"/>
    <x v="0"/>
    <s v="2B"/>
    <x v="5"/>
    <n v="1"/>
    <n v="7"/>
    <x v="0"/>
    <x v="0"/>
  </r>
  <r>
    <n v="1426"/>
    <n v="102875459"/>
    <s v="Recovery"/>
    <n v="200"/>
    <s v="AHY"/>
    <s v="F"/>
    <n v="1"/>
    <n v="2007"/>
    <n v="2006"/>
    <n v="2"/>
    <x v="0"/>
    <s v="2B"/>
    <x v="5"/>
    <n v="1"/>
    <n v="7"/>
    <x v="0"/>
    <x v="0"/>
  </r>
  <r>
    <n v="1429"/>
    <n v="102875462"/>
    <s v="Recovery"/>
    <n v="200"/>
    <s v="AHY"/>
    <s v="F"/>
    <n v="12"/>
    <n v="2007"/>
    <n v="2007"/>
    <n v="3"/>
    <x v="0"/>
    <s v="3B"/>
    <x v="1"/>
    <n v="1"/>
    <n v="7"/>
    <x v="0"/>
    <x v="0"/>
  </r>
  <r>
    <n v="1430"/>
    <n v="102875463"/>
    <s v="Recovery"/>
    <n v="200"/>
    <s v="AHY"/>
    <s v="F"/>
    <n v="12"/>
    <n v="2007"/>
    <n v="2007"/>
    <n v="3"/>
    <x v="0"/>
    <s v="3B"/>
    <x v="1"/>
    <n v="1"/>
    <n v="7"/>
    <x v="0"/>
    <x v="0"/>
  </r>
  <r>
    <n v="1434"/>
    <n v="102875467"/>
    <s v="Recovery"/>
    <n v="200"/>
    <s v="AHY"/>
    <s v="F"/>
    <n v="10"/>
    <n v="2006"/>
    <n v="2006"/>
    <n v="2"/>
    <x v="0"/>
    <s v="2B"/>
    <x v="5"/>
    <n v="1"/>
    <n v="7"/>
    <x v="0"/>
    <x v="0"/>
  </r>
  <r>
    <n v="1436"/>
    <n v="102875469"/>
    <s v="Recovery"/>
    <n v="200"/>
    <s v="AHY"/>
    <s v="F"/>
    <n v="2"/>
    <n v="2013"/>
    <n v="2012"/>
    <n v="8"/>
    <x v="0"/>
    <s v="8B"/>
    <x v="3"/>
    <n v="1"/>
    <n v="72"/>
    <x v="14"/>
    <x v="1"/>
  </r>
  <r>
    <n v="1437"/>
    <n v="102875470"/>
    <s v="Recovery"/>
    <n v="200"/>
    <s v="AHY"/>
    <s v="M"/>
    <n v="1"/>
    <n v="2008"/>
    <n v="2007"/>
    <n v="3"/>
    <x v="0"/>
    <s v="3B"/>
    <x v="1"/>
    <n v="1"/>
    <n v="7"/>
    <x v="0"/>
    <x v="0"/>
  </r>
  <r>
    <n v="1438"/>
    <n v="102875471"/>
    <s v="Recovery"/>
    <n v="200"/>
    <s v="AHY"/>
    <s v="M"/>
    <n v="2"/>
    <n v="2008"/>
    <n v="2007"/>
    <n v="3"/>
    <x v="0"/>
    <s v="3B"/>
    <x v="1"/>
    <n v="1"/>
    <n v="7"/>
    <x v="0"/>
    <x v="0"/>
  </r>
  <r>
    <n v="1440"/>
    <n v="102875473"/>
    <s v="Recovery"/>
    <n v="200"/>
    <s v="AHY"/>
    <s v="F"/>
    <n v="1"/>
    <n v="2007"/>
    <n v="2006"/>
    <n v="2"/>
    <x v="0"/>
    <s v="2B"/>
    <x v="5"/>
    <n v="1"/>
    <n v="7"/>
    <x v="0"/>
    <x v="0"/>
  </r>
  <r>
    <n v="1441"/>
    <n v="102875474"/>
    <s v="Recovery"/>
    <n v="200"/>
    <s v="AHY"/>
    <s v="M"/>
    <n v="9"/>
    <n v="2007"/>
    <n v="2007"/>
    <n v="3"/>
    <x v="0"/>
    <s v="3B"/>
    <x v="1"/>
    <n v="1"/>
    <n v="7"/>
    <x v="0"/>
    <x v="0"/>
  </r>
  <r>
    <n v="1443"/>
    <n v="102875476"/>
    <s v="Recovery"/>
    <n v="200"/>
    <s v="AHY"/>
    <s v="F"/>
    <n v="12"/>
    <n v="2011"/>
    <n v="2011"/>
    <n v="7"/>
    <x v="0"/>
    <s v="7B"/>
    <x v="9"/>
    <n v="1"/>
    <n v="7"/>
    <x v="0"/>
    <x v="0"/>
  </r>
  <r>
    <n v="1444"/>
    <n v="102875477"/>
    <s v="Recovery"/>
    <n v="200"/>
    <s v="AHY"/>
    <s v="F"/>
    <n v="2"/>
    <n v="2007"/>
    <n v="2006"/>
    <n v="2"/>
    <x v="0"/>
    <s v="2B"/>
    <x v="5"/>
    <n v="1"/>
    <n v="7"/>
    <x v="0"/>
    <x v="0"/>
  </r>
  <r>
    <n v="1447"/>
    <n v="102875480"/>
    <s v="Recovery"/>
    <n v="200"/>
    <s v="AHY"/>
    <s v="F"/>
    <n v="2"/>
    <n v="2007"/>
    <n v="2006"/>
    <n v="2"/>
    <x v="0"/>
    <s v="2B"/>
    <x v="5"/>
    <n v="1"/>
    <n v="7"/>
    <x v="0"/>
    <x v="0"/>
  </r>
  <r>
    <n v="1448"/>
    <n v="102875481"/>
    <s v="Recovery"/>
    <n v="200"/>
    <s v="AHY"/>
    <s v="M"/>
    <n v="2"/>
    <n v="2007"/>
    <n v="2006"/>
    <n v="2"/>
    <x v="0"/>
    <s v="2B"/>
    <x v="5"/>
    <n v="1"/>
    <n v="7"/>
    <x v="0"/>
    <x v="0"/>
  </r>
  <r>
    <n v="1449"/>
    <n v="102875482"/>
    <s v="Recovery"/>
    <n v="200"/>
    <s v="AHY"/>
    <s v="F"/>
    <n v="12"/>
    <n v="2007"/>
    <n v="2007"/>
    <n v="3"/>
    <x v="0"/>
    <s v="3B"/>
    <x v="1"/>
    <n v="1"/>
    <n v="7"/>
    <x v="0"/>
    <x v="0"/>
  </r>
  <r>
    <n v="1451"/>
    <n v="102875484"/>
    <s v="Recovery"/>
    <n v="200"/>
    <s v="AHY"/>
    <s v="F"/>
    <n v="9"/>
    <n v="2012"/>
    <n v="2012"/>
    <n v="8"/>
    <x v="0"/>
    <s v="8B"/>
    <x v="3"/>
    <n v="1"/>
    <n v="7"/>
    <x v="0"/>
    <x v="0"/>
  </r>
  <r>
    <n v="1452"/>
    <n v="102875485"/>
    <s v="Recovery"/>
    <n v="200"/>
    <s v="AHY"/>
    <s v="M"/>
    <n v="9"/>
    <n v="2011"/>
    <n v="2011"/>
    <n v="7"/>
    <x v="0"/>
    <s v="7B"/>
    <x v="9"/>
    <n v="1"/>
    <n v="27"/>
    <x v="8"/>
    <x v="1"/>
  </r>
  <r>
    <n v="1453"/>
    <n v="102875486"/>
    <s v="Recovery"/>
    <n v="200"/>
    <s v="AHY"/>
    <s v="F"/>
    <n v="1"/>
    <n v="2009"/>
    <n v="2008"/>
    <n v="4"/>
    <x v="0"/>
    <s v="4B"/>
    <x v="6"/>
    <n v="1"/>
    <n v="7"/>
    <x v="0"/>
    <x v="0"/>
  </r>
  <r>
    <n v="1454"/>
    <n v="102875487"/>
    <s v="Recovery"/>
    <n v="200"/>
    <s v="AHY"/>
    <s v="M"/>
    <n v="1"/>
    <n v="2007"/>
    <n v="2006"/>
    <n v="2"/>
    <x v="0"/>
    <s v="2B"/>
    <x v="5"/>
    <n v="1"/>
    <n v="7"/>
    <x v="0"/>
    <x v="0"/>
  </r>
  <r>
    <n v="1456"/>
    <n v="102875489"/>
    <s v="Recovery"/>
    <n v="200"/>
    <s v="AHY"/>
    <s v="M"/>
    <n v="9"/>
    <n v="2011"/>
    <n v="2011"/>
    <n v="7"/>
    <x v="0"/>
    <s v="7B"/>
    <x v="9"/>
    <n v="1"/>
    <n v="7"/>
    <x v="0"/>
    <x v="0"/>
  </r>
  <r>
    <n v="1458"/>
    <n v="102875491"/>
    <s v="Recovery"/>
    <n v="200"/>
    <s v="AHY"/>
    <s v="F"/>
    <n v="12"/>
    <n v="2009"/>
    <n v="2009"/>
    <n v="5"/>
    <x v="0"/>
    <s v="5B"/>
    <x v="8"/>
    <n v="1"/>
    <n v="7"/>
    <x v="0"/>
    <x v="0"/>
  </r>
  <r>
    <n v="1459"/>
    <n v="102875492"/>
    <s v="Recovery"/>
    <n v="200"/>
    <s v="AHY"/>
    <s v="M"/>
    <n v="1"/>
    <n v="2008"/>
    <n v="2007"/>
    <n v="3"/>
    <x v="0"/>
    <s v="3B"/>
    <x v="1"/>
    <n v="1"/>
    <n v="7"/>
    <x v="0"/>
    <x v="0"/>
  </r>
  <r>
    <n v="1462"/>
    <n v="102875495"/>
    <s v="Recovery"/>
    <n v="200"/>
    <s v="AHY"/>
    <s v="M"/>
    <n v="1"/>
    <n v="2007"/>
    <n v="2006"/>
    <n v="2"/>
    <x v="0"/>
    <s v="2B"/>
    <x v="5"/>
    <n v="1"/>
    <n v="7"/>
    <x v="0"/>
    <x v="0"/>
  </r>
  <r>
    <n v="1464"/>
    <n v="102875497"/>
    <s v="Recovery"/>
    <n v="200"/>
    <s v="AHY"/>
    <s v="M"/>
    <n v="1"/>
    <n v="2012"/>
    <n v="2011"/>
    <n v="7"/>
    <x v="0"/>
    <s v="7B"/>
    <x v="9"/>
    <n v="1"/>
    <n v="7"/>
    <x v="0"/>
    <x v="0"/>
  </r>
  <r>
    <n v="1470"/>
    <n v="102875504"/>
    <s v="Recovery"/>
    <n v="200"/>
    <s v="AHY"/>
    <s v="M"/>
    <n v="12"/>
    <n v="2007"/>
    <n v="2007"/>
    <n v="3"/>
    <x v="0"/>
    <s v="3B"/>
    <x v="1"/>
    <n v="1"/>
    <n v="7"/>
    <x v="0"/>
    <x v="0"/>
  </r>
  <r>
    <n v="1473"/>
    <n v="102875507"/>
    <s v="Recovery"/>
    <n v="200"/>
    <s v="AHY"/>
    <s v="F"/>
    <n v="1"/>
    <n v="2008"/>
    <n v="2007"/>
    <n v="3"/>
    <x v="0"/>
    <s v="3B"/>
    <x v="1"/>
    <n v="1"/>
    <n v="7"/>
    <x v="0"/>
    <x v="0"/>
  </r>
  <r>
    <n v="1476"/>
    <n v="102875510"/>
    <s v="Recovery"/>
    <n v="200"/>
    <s v="AHY"/>
    <s v="F"/>
    <n v="1"/>
    <n v="2007"/>
    <n v="2006"/>
    <n v="2"/>
    <x v="0"/>
    <s v="2B"/>
    <x v="5"/>
    <n v="1"/>
    <n v="7"/>
    <x v="0"/>
    <x v="0"/>
  </r>
  <r>
    <n v="1478"/>
    <n v="102875512"/>
    <s v="Recovery"/>
    <n v="200"/>
    <s v="AHY"/>
    <s v="F"/>
    <n v="1"/>
    <n v="2007"/>
    <n v="2006"/>
    <n v="2"/>
    <x v="0"/>
    <s v="2B"/>
    <x v="5"/>
    <n v="1"/>
    <n v="7"/>
    <x v="0"/>
    <x v="0"/>
  </r>
  <r>
    <n v="1479"/>
    <n v="102875513"/>
    <s v="Recovery"/>
    <n v="200"/>
    <s v="AHY"/>
    <s v="F"/>
    <n v="1"/>
    <n v="2007"/>
    <n v="2006"/>
    <n v="2"/>
    <x v="0"/>
    <s v="2B"/>
    <x v="5"/>
    <n v="1"/>
    <n v="7"/>
    <x v="0"/>
    <x v="0"/>
  </r>
  <r>
    <n v="1483"/>
    <n v="102875517"/>
    <s v="Recovery"/>
    <n v="200"/>
    <s v="AHY"/>
    <s v="M"/>
    <n v="1"/>
    <n v="2010"/>
    <n v="2009"/>
    <n v="5"/>
    <x v="0"/>
    <s v="5B"/>
    <x v="8"/>
    <n v="1"/>
    <n v="7"/>
    <x v="0"/>
    <x v="0"/>
  </r>
  <r>
    <n v="1484"/>
    <n v="102875518"/>
    <s v="Recovery"/>
    <n v="200"/>
    <s v="AHY"/>
    <s v="F"/>
    <n v="12"/>
    <n v="2010"/>
    <n v="2010"/>
    <n v="6"/>
    <x v="0"/>
    <s v="6B"/>
    <x v="2"/>
    <n v="1"/>
    <n v="7"/>
    <x v="0"/>
    <x v="0"/>
  </r>
  <r>
    <n v="1485"/>
    <n v="102875519"/>
    <s v="Recovery"/>
    <n v="200"/>
    <s v="AHY"/>
    <s v="F"/>
    <n v="1"/>
    <n v="2010"/>
    <n v="2009"/>
    <n v="5"/>
    <x v="0"/>
    <s v="5B"/>
    <x v="8"/>
    <n v="1"/>
    <n v="7"/>
    <x v="0"/>
    <x v="0"/>
  </r>
  <r>
    <n v="1488"/>
    <n v="102875522"/>
    <s v="Recovery"/>
    <n v="200"/>
    <s v="AHY"/>
    <s v="F"/>
    <n v="1"/>
    <n v="2007"/>
    <n v="2006"/>
    <n v="2"/>
    <x v="0"/>
    <s v="2B"/>
    <x v="5"/>
    <n v="1"/>
    <n v="7"/>
    <x v="0"/>
    <x v="0"/>
  </r>
  <r>
    <n v="1493"/>
    <n v="102875527"/>
    <s v="Recovery"/>
    <n v="200"/>
    <s v="AHY"/>
    <s v="F"/>
    <n v="11"/>
    <n v="2010"/>
    <n v="2010"/>
    <n v="6"/>
    <x v="0"/>
    <s v="6B"/>
    <x v="2"/>
    <n v="1"/>
    <n v="7"/>
    <x v="0"/>
    <x v="0"/>
  </r>
  <r>
    <n v="1495"/>
    <n v="102875529"/>
    <s v="Recovery"/>
    <n v="200"/>
    <s v="AHY"/>
    <s v="F"/>
    <n v="1"/>
    <n v="2007"/>
    <n v="2006"/>
    <n v="2"/>
    <x v="0"/>
    <s v="2B"/>
    <x v="5"/>
    <n v="1"/>
    <n v="7"/>
    <x v="0"/>
    <x v="0"/>
  </r>
  <r>
    <n v="1496"/>
    <n v="102875530"/>
    <s v="Recovery"/>
    <n v="200"/>
    <s v="AHY"/>
    <s v="M"/>
    <n v="1"/>
    <n v="2011"/>
    <n v="2010"/>
    <n v="6"/>
    <x v="0"/>
    <s v="6B"/>
    <x v="2"/>
    <n v="1"/>
    <n v="7"/>
    <x v="0"/>
    <x v="0"/>
  </r>
  <r>
    <n v="1498"/>
    <n v="102875532"/>
    <s v="Recovery"/>
    <n v="200"/>
    <s v="AHY"/>
    <s v="M"/>
    <n v="1"/>
    <n v="2008"/>
    <n v="2007"/>
    <n v="3"/>
    <x v="0"/>
    <s v="3B"/>
    <x v="1"/>
    <n v="1"/>
    <n v="7"/>
    <x v="0"/>
    <x v="0"/>
  </r>
  <r>
    <n v="1499"/>
    <n v="102875533"/>
    <s v="Recovery"/>
    <n v="200"/>
    <s v="AHY"/>
    <s v="F"/>
    <n v="12"/>
    <n v="2008"/>
    <n v="2008"/>
    <n v="4"/>
    <x v="0"/>
    <s v="4B"/>
    <x v="6"/>
    <n v="1"/>
    <n v="7"/>
    <x v="0"/>
    <x v="0"/>
  </r>
  <r>
    <n v="1501"/>
    <n v="102875535"/>
    <s v="Recovery"/>
    <n v="200"/>
    <s v="AHY"/>
    <s v="M"/>
    <n v="9"/>
    <n v="2009"/>
    <n v="2009"/>
    <n v="5"/>
    <x v="0"/>
    <s v="5B"/>
    <x v="8"/>
    <n v="1"/>
    <n v="7"/>
    <x v="0"/>
    <x v="0"/>
  </r>
  <r>
    <n v="1505"/>
    <n v="102875539"/>
    <s v="Recovery"/>
    <n v="200"/>
    <s v="AHY"/>
    <s v="F"/>
    <n v="1"/>
    <n v="2009"/>
    <n v="2008"/>
    <n v="4"/>
    <x v="0"/>
    <s v="4B"/>
    <x v="6"/>
    <n v="1"/>
    <n v="7"/>
    <x v="0"/>
    <x v="0"/>
  </r>
  <r>
    <n v="1506"/>
    <n v="102875540"/>
    <s v="Recovery"/>
    <n v="200"/>
    <s v="AHY"/>
    <s v="M"/>
    <n v="12"/>
    <n v="2010"/>
    <n v="2010"/>
    <n v="6"/>
    <x v="0"/>
    <s v="6B"/>
    <x v="2"/>
    <n v="1"/>
    <n v="7"/>
    <x v="0"/>
    <x v="0"/>
  </r>
  <r>
    <n v="1507"/>
    <n v="102875541"/>
    <s v="Recovery"/>
    <n v="200"/>
    <s v="AHY"/>
    <s v="M"/>
    <n v="2"/>
    <n v="2007"/>
    <n v="2006"/>
    <n v="2"/>
    <x v="0"/>
    <s v="2B"/>
    <x v="5"/>
    <n v="1"/>
    <n v="7"/>
    <x v="0"/>
    <x v="0"/>
  </r>
  <r>
    <n v="1509"/>
    <n v="102875543"/>
    <s v="Recovery"/>
    <n v="200"/>
    <s v="AHY"/>
    <s v="F"/>
    <n v="1"/>
    <n v="2008"/>
    <n v="2007"/>
    <n v="3"/>
    <x v="0"/>
    <s v="3B"/>
    <x v="1"/>
    <n v="1"/>
    <n v="7"/>
    <x v="0"/>
    <x v="0"/>
  </r>
  <r>
    <n v="1511"/>
    <n v="102875545"/>
    <s v="Recovery"/>
    <n v="200"/>
    <s v="AHY"/>
    <s v="M"/>
    <n v="1"/>
    <n v="2010"/>
    <n v="2009"/>
    <n v="5"/>
    <x v="0"/>
    <s v="5B"/>
    <x v="8"/>
    <n v="1"/>
    <n v="52"/>
    <x v="11"/>
    <x v="1"/>
  </r>
  <r>
    <n v="1515"/>
    <n v="102875549"/>
    <s v="Recovery"/>
    <n v="200"/>
    <s v="AHY"/>
    <s v="F"/>
    <n v="1"/>
    <n v="2010"/>
    <n v="2009"/>
    <n v="5"/>
    <x v="0"/>
    <s v="5B"/>
    <x v="8"/>
    <n v="1"/>
    <n v="7"/>
    <x v="0"/>
    <x v="0"/>
  </r>
  <r>
    <n v="1516"/>
    <n v="102875550"/>
    <s v="Recovery"/>
    <n v="200"/>
    <s v="AHY"/>
    <s v="F"/>
    <n v="1"/>
    <n v="2008"/>
    <n v="2007"/>
    <n v="3"/>
    <x v="0"/>
    <s v="3B"/>
    <x v="1"/>
    <n v="1"/>
    <n v="7"/>
    <x v="0"/>
    <x v="0"/>
  </r>
  <r>
    <n v="1518"/>
    <n v="102875552"/>
    <s v="Recovery"/>
    <n v="200"/>
    <s v="AHY"/>
    <s v="M"/>
    <n v="1"/>
    <n v="2007"/>
    <n v="2006"/>
    <n v="2"/>
    <x v="0"/>
    <s v="2B"/>
    <x v="5"/>
    <n v="1"/>
    <n v="7"/>
    <x v="0"/>
    <x v="0"/>
  </r>
  <r>
    <n v="1519"/>
    <n v="102875553"/>
    <s v="Recovery"/>
    <n v="200"/>
    <s v="AHY"/>
    <s v="F"/>
    <n v="1"/>
    <n v="2007"/>
    <n v="2006"/>
    <n v="2"/>
    <x v="0"/>
    <s v="2B"/>
    <x v="5"/>
    <n v="1"/>
    <n v="7"/>
    <x v="0"/>
    <x v="0"/>
  </r>
  <r>
    <n v="1521"/>
    <n v="102875555"/>
    <s v="Recovery"/>
    <n v="200"/>
    <s v="AHY"/>
    <s v="M"/>
    <n v="1"/>
    <n v="2010"/>
    <n v="2009"/>
    <n v="5"/>
    <x v="0"/>
    <s v="5B"/>
    <x v="8"/>
    <n v="1"/>
    <n v="7"/>
    <x v="0"/>
    <x v="0"/>
  </r>
  <r>
    <n v="1522"/>
    <n v="102875556"/>
    <s v="Recovery"/>
    <n v="200"/>
    <s v="AHY"/>
    <s v="F"/>
    <n v="1"/>
    <n v="2007"/>
    <n v="2006"/>
    <n v="2"/>
    <x v="0"/>
    <s v="2B"/>
    <x v="5"/>
    <n v="1"/>
    <n v="7"/>
    <x v="0"/>
    <x v="0"/>
  </r>
  <r>
    <n v="1523"/>
    <n v="102875557"/>
    <s v="Recovery"/>
    <n v="200"/>
    <s v="AHY"/>
    <s v="F"/>
    <n v="9"/>
    <n v="2008"/>
    <n v="2008"/>
    <n v="4"/>
    <x v="0"/>
    <s v="4B"/>
    <x v="6"/>
    <n v="1"/>
    <n v="82"/>
    <x v="15"/>
    <x v="1"/>
  </r>
  <r>
    <n v="1525"/>
    <n v="102875559"/>
    <s v="Recovery"/>
    <n v="200"/>
    <s v="AHY"/>
    <s v="M"/>
    <n v="1"/>
    <n v="2007"/>
    <n v="2006"/>
    <n v="2"/>
    <x v="0"/>
    <s v="2B"/>
    <x v="5"/>
    <n v="1"/>
    <n v="7"/>
    <x v="0"/>
    <x v="0"/>
  </r>
  <r>
    <n v="1529"/>
    <n v="102875563"/>
    <s v="Recovery"/>
    <n v="200"/>
    <s v="AHY"/>
    <s v="M"/>
    <n v="1"/>
    <n v="2011"/>
    <n v="2010"/>
    <n v="6"/>
    <x v="0"/>
    <s v="6B"/>
    <x v="2"/>
    <n v="1"/>
    <n v="7"/>
    <x v="0"/>
    <x v="0"/>
  </r>
  <r>
    <n v="1532"/>
    <n v="102875566"/>
    <s v="Recovery"/>
    <n v="200"/>
    <s v="AHY"/>
    <s v="F"/>
    <n v="1"/>
    <n v="2009"/>
    <n v="2008"/>
    <n v="4"/>
    <x v="0"/>
    <s v="4B"/>
    <x v="6"/>
    <n v="1"/>
    <n v="7"/>
    <x v="0"/>
    <x v="0"/>
  </r>
  <r>
    <n v="1533"/>
    <n v="102875567"/>
    <s v="Recovery"/>
    <n v="200"/>
    <s v="AHY"/>
    <s v="F"/>
    <n v="12"/>
    <n v="2010"/>
    <n v="2010"/>
    <n v="6"/>
    <x v="0"/>
    <s v="6B"/>
    <x v="2"/>
    <n v="1"/>
    <n v="38"/>
    <x v="7"/>
    <x v="1"/>
  </r>
  <r>
    <n v="1534"/>
    <n v="102875568"/>
    <s v="Recovery"/>
    <n v="200"/>
    <s v="AHY"/>
    <s v="M"/>
    <n v="1"/>
    <n v="2010"/>
    <n v="2009"/>
    <n v="5"/>
    <x v="0"/>
    <s v="5B"/>
    <x v="8"/>
    <n v="1"/>
    <n v="7"/>
    <x v="0"/>
    <x v="0"/>
  </r>
  <r>
    <n v="1545"/>
    <n v="102875579"/>
    <s v="Recovery"/>
    <n v="200"/>
    <s v="AHY"/>
    <s v="F"/>
    <n v="9"/>
    <n v="2009"/>
    <n v="2009"/>
    <n v="5"/>
    <x v="0"/>
    <s v="5B"/>
    <x v="8"/>
    <n v="1"/>
    <n v="7"/>
    <x v="0"/>
    <x v="0"/>
  </r>
  <r>
    <n v="1547"/>
    <n v="102875581"/>
    <s v="Recovery"/>
    <n v="200"/>
    <s v="AHY"/>
    <s v="M"/>
    <n v="12"/>
    <n v="2012"/>
    <n v="2012"/>
    <n v="8"/>
    <x v="0"/>
    <s v="8B"/>
    <x v="3"/>
    <n v="1"/>
    <n v="7"/>
    <x v="0"/>
    <x v="0"/>
  </r>
  <r>
    <n v="1550"/>
    <n v="102875584"/>
    <s v="Recovery"/>
    <n v="200"/>
    <s v="AHY"/>
    <s v="M"/>
    <n v="9"/>
    <n v="2011"/>
    <n v="2011"/>
    <n v="7"/>
    <x v="0"/>
    <s v="7B"/>
    <x v="9"/>
    <n v="1"/>
    <n v="7"/>
    <x v="0"/>
    <x v="0"/>
  </r>
  <r>
    <n v="1551"/>
    <n v="102875585"/>
    <s v="Recovery"/>
    <n v="200"/>
    <s v="AHY"/>
    <s v="F"/>
    <n v="9"/>
    <n v="2007"/>
    <n v="2007"/>
    <n v="3"/>
    <x v="0"/>
    <s v="3B"/>
    <x v="1"/>
    <n v="1"/>
    <n v="7"/>
    <x v="0"/>
    <x v="0"/>
  </r>
  <r>
    <n v="1556"/>
    <n v="102875590"/>
    <s v="Recovery"/>
    <n v="200"/>
    <s v="AHY"/>
    <s v="M"/>
    <n v="10"/>
    <n v="2008"/>
    <n v="2008"/>
    <n v="4"/>
    <x v="0"/>
    <s v="4B"/>
    <x v="6"/>
    <n v="1"/>
    <n v="91"/>
    <x v="5"/>
    <x v="1"/>
  </r>
  <r>
    <n v="1558"/>
    <n v="102875592"/>
    <s v="Recovery"/>
    <n v="200"/>
    <s v="AHY"/>
    <s v="M"/>
    <n v="9"/>
    <n v="2012"/>
    <n v="2012"/>
    <n v="8"/>
    <x v="0"/>
    <s v="8B"/>
    <x v="3"/>
    <n v="1"/>
    <n v="7"/>
    <x v="0"/>
    <x v="0"/>
  </r>
  <r>
    <n v="1560"/>
    <n v="102875594"/>
    <s v="Recovery"/>
    <n v="200"/>
    <s v="AHY"/>
    <s v="F"/>
    <n v="1"/>
    <n v="2008"/>
    <n v="2007"/>
    <n v="3"/>
    <x v="0"/>
    <s v="3B"/>
    <x v="1"/>
    <n v="1"/>
    <n v="7"/>
    <x v="0"/>
    <x v="0"/>
  </r>
  <r>
    <n v="1567"/>
    <n v="102875601"/>
    <s v="Recovery"/>
    <n v="200"/>
    <s v="AHY"/>
    <s v="F"/>
    <n v="9"/>
    <n v="2009"/>
    <n v="2009"/>
    <n v="5"/>
    <x v="0"/>
    <s v="5B"/>
    <x v="8"/>
    <n v="1"/>
    <n v="7"/>
    <x v="0"/>
    <x v="0"/>
  </r>
  <r>
    <n v="1568"/>
    <n v="102875602"/>
    <s v="Recovery"/>
    <n v="200"/>
    <s v="AHY"/>
    <s v="F"/>
    <n v="12"/>
    <n v="2011"/>
    <n v="2011"/>
    <n v="7"/>
    <x v="0"/>
    <s v="7B"/>
    <x v="9"/>
    <n v="1"/>
    <n v="7"/>
    <x v="0"/>
    <x v="0"/>
  </r>
  <r>
    <n v="1572"/>
    <n v="102875606"/>
    <s v="Recovery"/>
    <n v="200"/>
    <s v="AHY"/>
    <s v="F"/>
    <n v="11"/>
    <n v="2017"/>
    <n v="2017"/>
    <n v="13"/>
    <x v="0"/>
    <s v="13B"/>
    <x v="13"/>
    <n v="1"/>
    <n v="7"/>
    <x v="0"/>
    <x v="0"/>
  </r>
  <r>
    <n v="1574"/>
    <n v="102875608"/>
    <s v="Recovery"/>
    <n v="200"/>
    <s v="AHY"/>
    <s v="F"/>
    <n v="1"/>
    <n v="2011"/>
    <n v="2010"/>
    <n v="6"/>
    <x v="0"/>
    <s v="6B"/>
    <x v="2"/>
    <n v="1"/>
    <n v="7"/>
    <x v="0"/>
    <x v="0"/>
  </r>
  <r>
    <n v="1577"/>
    <n v="102875611"/>
    <s v="Recovery"/>
    <n v="200"/>
    <s v="AHY"/>
    <s v="F"/>
    <n v="1"/>
    <n v="2007"/>
    <n v="2006"/>
    <n v="2"/>
    <x v="0"/>
    <s v="2B"/>
    <x v="5"/>
    <n v="1"/>
    <n v="7"/>
    <x v="0"/>
    <x v="0"/>
  </r>
  <r>
    <n v="1579"/>
    <n v="102875613"/>
    <s v="Recovery"/>
    <n v="200"/>
    <s v="AHY"/>
    <s v="M"/>
    <n v="9"/>
    <n v="2010"/>
    <n v="2010"/>
    <n v="6"/>
    <x v="0"/>
    <s v="6B"/>
    <x v="2"/>
    <n v="1"/>
    <n v="7"/>
    <x v="0"/>
    <x v="0"/>
  </r>
  <r>
    <n v="1583"/>
    <n v="102875617"/>
    <s v="Recovery"/>
    <n v="200"/>
    <s v="AHY"/>
    <s v="F"/>
    <n v="9"/>
    <n v="2012"/>
    <n v="2012"/>
    <n v="8"/>
    <x v="0"/>
    <s v="8B"/>
    <x v="3"/>
    <n v="1"/>
    <n v="7"/>
    <x v="0"/>
    <x v="0"/>
  </r>
  <r>
    <n v="1585"/>
    <n v="102875619"/>
    <s v="Recovery"/>
    <n v="200"/>
    <s v="AHY"/>
    <s v="M"/>
    <n v="9"/>
    <n v="2007"/>
    <n v="2007"/>
    <n v="3"/>
    <x v="0"/>
    <s v="3B"/>
    <x v="1"/>
    <n v="1"/>
    <n v="7"/>
    <x v="0"/>
    <x v="0"/>
  </r>
  <r>
    <n v="1588"/>
    <n v="102875622"/>
    <s v="Recovery"/>
    <n v="200"/>
    <s v="AHY"/>
    <s v="F"/>
    <n v="10"/>
    <n v="2007"/>
    <n v="2007"/>
    <n v="3"/>
    <x v="0"/>
    <s v="3B"/>
    <x v="1"/>
    <n v="1"/>
    <n v="45"/>
    <x v="1"/>
    <x v="1"/>
  </r>
  <r>
    <n v="1594"/>
    <n v="102875628"/>
    <s v="Recovery"/>
    <n v="200"/>
    <s v="AHY"/>
    <s v="M"/>
    <n v="2"/>
    <n v="2007"/>
    <n v="2006"/>
    <n v="2"/>
    <x v="0"/>
    <s v="2B"/>
    <x v="5"/>
    <n v="1"/>
    <n v="7"/>
    <x v="0"/>
    <x v="0"/>
  </r>
  <r>
    <n v="1600"/>
    <n v="102875634"/>
    <s v="Recovery"/>
    <n v="200"/>
    <s v="AHY"/>
    <s v="M"/>
    <n v="9"/>
    <n v="2009"/>
    <n v="2009"/>
    <n v="5"/>
    <x v="0"/>
    <s v="5B"/>
    <x v="8"/>
    <n v="1"/>
    <n v="7"/>
    <x v="0"/>
    <x v="0"/>
  </r>
  <r>
    <n v="1602"/>
    <n v="102875636"/>
    <s v="Recovery"/>
    <n v="200"/>
    <s v="AHY"/>
    <s v="F"/>
    <n v="12"/>
    <n v="2007"/>
    <n v="2007"/>
    <n v="3"/>
    <x v="0"/>
    <s v="3B"/>
    <x v="1"/>
    <n v="1"/>
    <n v="17"/>
    <x v="16"/>
    <x v="1"/>
  </r>
  <r>
    <n v="1606"/>
    <n v="102875640"/>
    <s v="Recovery"/>
    <n v="200"/>
    <s v="AHY"/>
    <s v="M"/>
    <n v="9"/>
    <n v="2006"/>
    <n v="2006"/>
    <n v="2"/>
    <x v="0"/>
    <s v="2B"/>
    <x v="5"/>
    <n v="1"/>
    <n v="7"/>
    <x v="0"/>
    <x v="0"/>
  </r>
  <r>
    <n v="1608"/>
    <n v="102875642"/>
    <s v="Recovery"/>
    <n v="200"/>
    <s v="AHY"/>
    <s v="F"/>
    <n v="1"/>
    <n v="2007"/>
    <n v="2006"/>
    <n v="2"/>
    <x v="0"/>
    <s v="2B"/>
    <x v="5"/>
    <n v="1"/>
    <n v="7"/>
    <x v="0"/>
    <x v="0"/>
  </r>
  <r>
    <n v="1610"/>
    <n v="102875644"/>
    <s v="Recovery"/>
    <n v="200"/>
    <s v="AHY"/>
    <s v="M"/>
    <n v="1"/>
    <n v="2008"/>
    <n v="2007"/>
    <n v="3"/>
    <x v="0"/>
    <s v="3B"/>
    <x v="1"/>
    <n v="1"/>
    <n v="7"/>
    <x v="0"/>
    <x v="0"/>
  </r>
  <r>
    <n v="1611"/>
    <n v="102875645"/>
    <s v="Recovery"/>
    <n v="200"/>
    <s v="AHY"/>
    <s v="M"/>
    <n v="1"/>
    <n v="2013"/>
    <n v="2012"/>
    <n v="8"/>
    <x v="0"/>
    <s v="8B"/>
    <x v="3"/>
    <n v="1"/>
    <n v="7"/>
    <x v="0"/>
    <x v="0"/>
  </r>
  <r>
    <n v="1613"/>
    <n v="102875647"/>
    <s v="Recovery"/>
    <n v="200"/>
    <s v="AHY"/>
    <s v="M"/>
    <n v="1"/>
    <n v="2007"/>
    <n v="2006"/>
    <n v="2"/>
    <x v="0"/>
    <s v="2B"/>
    <x v="5"/>
    <n v="1"/>
    <n v="7"/>
    <x v="0"/>
    <x v="0"/>
  </r>
  <r>
    <n v="1616"/>
    <n v="102875650"/>
    <s v="Recovery"/>
    <n v="200"/>
    <s v="AHY"/>
    <s v="M"/>
    <n v="1"/>
    <n v="2009"/>
    <n v="2008"/>
    <n v="4"/>
    <x v="0"/>
    <s v="4B"/>
    <x v="6"/>
    <n v="1"/>
    <n v="7"/>
    <x v="0"/>
    <x v="0"/>
  </r>
  <r>
    <n v="1635"/>
    <n v="102875669"/>
    <s v="Recovery"/>
    <n v="200"/>
    <s v="AHY"/>
    <s v="M"/>
    <n v="12"/>
    <n v="2007"/>
    <n v="2007"/>
    <n v="3"/>
    <x v="0"/>
    <s v="3B"/>
    <x v="1"/>
    <n v="1"/>
    <n v="7"/>
    <x v="0"/>
    <x v="0"/>
  </r>
  <r>
    <n v="1638"/>
    <n v="102875672"/>
    <s v="Recovery"/>
    <n v="200"/>
    <s v="AHY"/>
    <s v="M"/>
    <n v="9"/>
    <n v="2011"/>
    <n v="2011"/>
    <n v="7"/>
    <x v="0"/>
    <s v="7B"/>
    <x v="9"/>
    <n v="1"/>
    <n v="7"/>
    <x v="0"/>
    <x v="0"/>
  </r>
  <r>
    <n v="1641"/>
    <n v="102875675"/>
    <s v="Recovery"/>
    <n v="200"/>
    <s v="AHY"/>
    <s v="F"/>
    <n v="9"/>
    <n v="2008"/>
    <n v="2008"/>
    <n v="4"/>
    <x v="0"/>
    <s v="4B"/>
    <x v="6"/>
    <n v="1"/>
    <n v="64"/>
    <x v="4"/>
    <x v="1"/>
  </r>
  <r>
    <n v="1642"/>
    <n v="102875676"/>
    <s v="Recovery"/>
    <n v="200"/>
    <s v="AHY"/>
    <s v="M"/>
    <n v="1"/>
    <n v="2007"/>
    <n v="2006"/>
    <n v="2"/>
    <x v="0"/>
    <s v="2B"/>
    <x v="5"/>
    <n v="1"/>
    <n v="7"/>
    <x v="0"/>
    <x v="0"/>
  </r>
  <r>
    <n v="1644"/>
    <n v="102875678"/>
    <s v="Recovery"/>
    <n v="200"/>
    <s v="AHY"/>
    <s v="F"/>
    <n v="1"/>
    <n v="2010"/>
    <n v="2009"/>
    <n v="5"/>
    <x v="0"/>
    <s v="5B"/>
    <x v="8"/>
    <n v="1"/>
    <n v="7"/>
    <x v="0"/>
    <x v="0"/>
  </r>
  <r>
    <n v="1648"/>
    <n v="102875682"/>
    <s v="Recovery"/>
    <n v="200"/>
    <s v="AHY"/>
    <s v="F"/>
    <n v="12"/>
    <n v="2007"/>
    <n v="2007"/>
    <n v="3"/>
    <x v="0"/>
    <s v="3B"/>
    <x v="1"/>
    <n v="1"/>
    <n v="7"/>
    <x v="0"/>
    <x v="0"/>
  </r>
  <r>
    <n v="1658"/>
    <n v="102875692"/>
    <s v="Recovery"/>
    <n v="200"/>
    <s v="AHY"/>
    <s v="M"/>
    <n v="1"/>
    <n v="2009"/>
    <n v="2008"/>
    <n v="4"/>
    <x v="0"/>
    <s v="4B"/>
    <x v="6"/>
    <n v="1"/>
    <n v="34"/>
    <x v="9"/>
    <x v="1"/>
  </r>
  <r>
    <n v="1659"/>
    <n v="102875693"/>
    <s v="Recovery"/>
    <n v="200"/>
    <s v="AHY"/>
    <s v="F"/>
    <n v="12"/>
    <n v="2012"/>
    <n v="2012"/>
    <n v="8"/>
    <x v="0"/>
    <s v="8B"/>
    <x v="3"/>
    <n v="1"/>
    <n v="17"/>
    <x v="16"/>
    <x v="1"/>
  </r>
  <r>
    <n v="1660"/>
    <n v="102875694"/>
    <s v="Recovery"/>
    <n v="200"/>
    <s v="AHY"/>
    <s v="M"/>
    <n v="12"/>
    <n v="2015"/>
    <n v="2015"/>
    <n v="11"/>
    <x v="0"/>
    <s v="11B"/>
    <x v="14"/>
    <n v="1"/>
    <n v="7"/>
    <x v="0"/>
    <x v="0"/>
  </r>
  <r>
    <n v="1662"/>
    <n v="102875696"/>
    <s v="Recovery"/>
    <n v="200"/>
    <s v="AHY"/>
    <s v="M"/>
    <n v="1"/>
    <n v="2015"/>
    <n v="2014"/>
    <n v="10"/>
    <x v="0"/>
    <s v="10B"/>
    <x v="7"/>
    <n v="1"/>
    <n v="7"/>
    <x v="0"/>
    <x v="0"/>
  </r>
  <r>
    <n v="1671"/>
    <n v="102875705"/>
    <s v="Recovery"/>
    <n v="200"/>
    <s v="AHY"/>
    <s v="F"/>
    <n v="12"/>
    <n v="2007"/>
    <n v="2007"/>
    <n v="3"/>
    <x v="0"/>
    <s v="3B"/>
    <x v="1"/>
    <n v="1"/>
    <n v="17"/>
    <x v="16"/>
    <x v="1"/>
  </r>
  <r>
    <n v="1673"/>
    <n v="102875707"/>
    <s v="Recovery"/>
    <n v="200"/>
    <s v="AHY"/>
    <s v="F"/>
    <n v="9"/>
    <n v="2012"/>
    <n v="2012"/>
    <n v="8"/>
    <x v="0"/>
    <s v="8B"/>
    <x v="3"/>
    <n v="1"/>
    <n v="7"/>
    <x v="0"/>
    <x v="0"/>
  </r>
  <r>
    <n v="1676"/>
    <n v="102875710"/>
    <s v="Recovery"/>
    <n v="200"/>
    <s v="AHY"/>
    <s v="F"/>
    <n v="9"/>
    <n v="2006"/>
    <n v="2006"/>
    <n v="2"/>
    <x v="0"/>
    <s v="2B"/>
    <x v="5"/>
    <n v="1"/>
    <n v="7"/>
    <x v="0"/>
    <x v="0"/>
  </r>
  <r>
    <n v="1677"/>
    <n v="102875711"/>
    <s v="Recovery"/>
    <n v="200"/>
    <s v="AHY"/>
    <s v="F"/>
    <n v="9"/>
    <n v="2007"/>
    <n v="2007"/>
    <n v="3"/>
    <x v="0"/>
    <s v="3B"/>
    <x v="1"/>
    <n v="1"/>
    <n v="7"/>
    <x v="0"/>
    <x v="0"/>
  </r>
  <r>
    <n v="1680"/>
    <n v="102875714"/>
    <s v="Recovery"/>
    <n v="200"/>
    <s v="AHY"/>
    <s v="F"/>
    <n v="1"/>
    <n v="2007"/>
    <n v="2006"/>
    <n v="2"/>
    <x v="0"/>
    <s v="2B"/>
    <x v="5"/>
    <n v="1"/>
    <n v="7"/>
    <x v="0"/>
    <x v="0"/>
  </r>
  <r>
    <n v="1690"/>
    <n v="102875724"/>
    <s v="Recovery"/>
    <n v="200"/>
    <s v="AHY"/>
    <s v="M"/>
    <n v="1"/>
    <n v="2015"/>
    <n v="2014"/>
    <n v="10"/>
    <x v="0"/>
    <s v="10B"/>
    <x v="7"/>
    <n v="1"/>
    <n v="7"/>
    <x v="0"/>
    <x v="0"/>
  </r>
  <r>
    <n v="1691"/>
    <n v="102875725"/>
    <s v="Recovery"/>
    <n v="200"/>
    <s v="AHY"/>
    <s v="M"/>
    <n v="9"/>
    <n v="2008"/>
    <n v="2008"/>
    <n v="4"/>
    <x v="0"/>
    <s v="4B"/>
    <x v="6"/>
    <n v="1"/>
    <n v="7"/>
    <x v="0"/>
    <x v="0"/>
  </r>
  <r>
    <n v="1692"/>
    <n v="102875726"/>
    <s v="Recovery"/>
    <n v="200"/>
    <s v="AHY"/>
    <s v="M"/>
    <n v="9"/>
    <n v="2007"/>
    <n v="2007"/>
    <n v="3"/>
    <x v="0"/>
    <s v="3B"/>
    <x v="1"/>
    <n v="1"/>
    <n v="7"/>
    <x v="0"/>
    <x v="0"/>
  </r>
  <r>
    <n v="1698"/>
    <n v="102875732"/>
    <s v="Recovery"/>
    <n v="200"/>
    <s v="AHY"/>
    <s v="M"/>
    <n v="9"/>
    <n v="2006"/>
    <n v="2006"/>
    <n v="2"/>
    <x v="0"/>
    <s v="2B"/>
    <x v="5"/>
    <n v="1"/>
    <n v="7"/>
    <x v="0"/>
    <x v="0"/>
  </r>
  <r>
    <n v="1707"/>
    <n v="102875741"/>
    <s v="Recovery"/>
    <n v="200"/>
    <s v="AHY"/>
    <s v="M"/>
    <n v="9"/>
    <n v="2008"/>
    <n v="2008"/>
    <n v="4"/>
    <x v="0"/>
    <s v="4B"/>
    <x v="6"/>
    <n v="1"/>
    <n v="81"/>
    <x v="17"/>
    <x v="1"/>
  </r>
  <r>
    <n v="1709"/>
    <n v="102875743"/>
    <s v="Recovery"/>
    <n v="200"/>
    <s v="AHY"/>
    <s v="F"/>
    <n v="12"/>
    <n v="2007"/>
    <n v="2007"/>
    <n v="3"/>
    <x v="0"/>
    <s v="3B"/>
    <x v="1"/>
    <n v="1"/>
    <n v="17"/>
    <x v="16"/>
    <x v="1"/>
  </r>
  <r>
    <n v="1712"/>
    <n v="102875746"/>
    <s v="Recovery"/>
    <n v="200"/>
    <s v="AHY"/>
    <s v="M"/>
    <n v="9"/>
    <n v="2009"/>
    <n v="2009"/>
    <n v="5"/>
    <x v="0"/>
    <s v="5B"/>
    <x v="8"/>
    <n v="1"/>
    <n v="7"/>
    <x v="0"/>
    <x v="0"/>
  </r>
  <r>
    <n v="1714"/>
    <n v="102875748"/>
    <s v="Recovery"/>
    <n v="200"/>
    <s v="AHY"/>
    <s v="F"/>
    <n v="1"/>
    <n v="2012"/>
    <n v="2011"/>
    <n v="7"/>
    <x v="0"/>
    <s v="7B"/>
    <x v="9"/>
    <n v="1"/>
    <n v="7"/>
    <x v="0"/>
    <x v="0"/>
  </r>
  <r>
    <n v="1717"/>
    <n v="102875751"/>
    <s v="Recovery"/>
    <n v="200"/>
    <s v="AHY"/>
    <s v="F"/>
    <n v="1"/>
    <n v="2010"/>
    <n v="2009"/>
    <n v="5"/>
    <x v="0"/>
    <s v="5B"/>
    <x v="8"/>
    <n v="1"/>
    <n v="7"/>
    <x v="0"/>
    <x v="0"/>
  </r>
  <r>
    <n v="1718"/>
    <n v="102875752"/>
    <s v="Recovery"/>
    <n v="200"/>
    <s v="AHY"/>
    <s v="M"/>
    <n v="9"/>
    <n v="2007"/>
    <n v="2007"/>
    <n v="3"/>
    <x v="0"/>
    <s v="3B"/>
    <x v="1"/>
    <n v="1"/>
    <n v="7"/>
    <x v="0"/>
    <x v="0"/>
  </r>
  <r>
    <n v="1719"/>
    <n v="102875753"/>
    <s v="Recovery"/>
    <n v="200"/>
    <s v="AHY"/>
    <s v="F"/>
    <n v="12"/>
    <n v="2007"/>
    <n v="2007"/>
    <n v="3"/>
    <x v="0"/>
    <s v="3B"/>
    <x v="1"/>
    <n v="1"/>
    <n v="7"/>
    <x v="0"/>
    <x v="0"/>
  </r>
  <r>
    <n v="1722"/>
    <n v="102875756"/>
    <s v="Recovery"/>
    <n v="200"/>
    <s v="AHY"/>
    <s v="F"/>
    <n v="1"/>
    <n v="2007"/>
    <n v="2006"/>
    <n v="2"/>
    <x v="0"/>
    <s v="2B"/>
    <x v="5"/>
    <n v="1"/>
    <n v="7"/>
    <x v="0"/>
    <x v="0"/>
  </r>
  <r>
    <n v="1723"/>
    <n v="102875757"/>
    <s v="Recovery"/>
    <n v="200"/>
    <s v="AHY"/>
    <s v="F"/>
    <n v="9"/>
    <n v="2012"/>
    <n v="2012"/>
    <n v="8"/>
    <x v="0"/>
    <s v="8B"/>
    <x v="3"/>
    <n v="1"/>
    <n v="7"/>
    <x v="0"/>
    <x v="0"/>
  </r>
  <r>
    <n v="1724"/>
    <n v="102875758"/>
    <s v="Recovery"/>
    <n v="200"/>
    <s v="AHY"/>
    <s v="M"/>
    <n v="1"/>
    <n v="2007"/>
    <n v="2006"/>
    <n v="2"/>
    <x v="0"/>
    <s v="2B"/>
    <x v="5"/>
    <n v="1"/>
    <n v="7"/>
    <x v="0"/>
    <x v="0"/>
  </r>
  <r>
    <n v="1725"/>
    <n v="102875759"/>
    <s v="Recovery"/>
    <n v="200"/>
    <s v="AHY"/>
    <s v="M"/>
    <n v="1"/>
    <n v="2011"/>
    <n v="2010"/>
    <n v="6"/>
    <x v="0"/>
    <s v="6B"/>
    <x v="2"/>
    <n v="1"/>
    <n v="7"/>
    <x v="0"/>
    <x v="0"/>
  </r>
  <r>
    <n v="1726"/>
    <n v="102875760"/>
    <s v="Recovery"/>
    <n v="200"/>
    <s v="AHY"/>
    <s v="F"/>
    <n v="1"/>
    <n v="2007"/>
    <n v="2006"/>
    <n v="2"/>
    <x v="0"/>
    <s v="2B"/>
    <x v="5"/>
    <n v="1"/>
    <n v="7"/>
    <x v="0"/>
    <x v="0"/>
  </r>
  <r>
    <n v="1728"/>
    <n v="102875762"/>
    <s v="Recovery"/>
    <n v="200"/>
    <s v="AHY"/>
    <s v="F"/>
    <n v="1"/>
    <n v="2008"/>
    <n v="2007"/>
    <n v="3"/>
    <x v="0"/>
    <s v="3B"/>
    <x v="1"/>
    <n v="1"/>
    <n v="7"/>
    <x v="0"/>
    <x v="0"/>
  </r>
  <r>
    <n v="1733"/>
    <n v="102875767"/>
    <s v="Recovery"/>
    <n v="200"/>
    <s v="AHY"/>
    <s v="M"/>
    <n v="11"/>
    <n v="2010"/>
    <n v="2010"/>
    <n v="6"/>
    <x v="0"/>
    <s v="6B"/>
    <x v="2"/>
    <n v="1"/>
    <n v="7"/>
    <x v="0"/>
    <x v="0"/>
  </r>
  <r>
    <n v="1737"/>
    <n v="102875771"/>
    <s v="Recovery"/>
    <n v="200"/>
    <s v="AHY"/>
    <s v="F"/>
    <n v="1"/>
    <n v="2009"/>
    <n v="2008"/>
    <n v="4"/>
    <x v="0"/>
    <s v="4B"/>
    <x v="6"/>
    <n v="1"/>
    <n v="7"/>
    <x v="0"/>
    <x v="0"/>
  </r>
  <r>
    <n v="1755"/>
    <n v="102875789"/>
    <s v="Recovery"/>
    <n v="200"/>
    <s v="AHY"/>
    <s v="F"/>
    <n v="10"/>
    <n v="2006"/>
    <n v="2006"/>
    <n v="2"/>
    <x v="0"/>
    <s v="2B"/>
    <x v="5"/>
    <n v="1"/>
    <n v="7"/>
    <x v="0"/>
    <x v="0"/>
  </r>
  <r>
    <n v="1760"/>
    <n v="102875794"/>
    <s v="Recovery"/>
    <n v="200"/>
    <s v="AHY"/>
    <s v="M"/>
    <n v="9"/>
    <n v="2014"/>
    <n v="2014"/>
    <n v="10"/>
    <x v="0"/>
    <s v="10B"/>
    <x v="7"/>
    <n v="1"/>
    <n v="7"/>
    <x v="0"/>
    <x v="0"/>
  </r>
  <r>
    <n v="1764"/>
    <n v="102875798"/>
    <s v="Recovery"/>
    <n v="200"/>
    <s v="AHY"/>
    <s v="M"/>
    <n v="1"/>
    <n v="2009"/>
    <n v="2008"/>
    <n v="4"/>
    <x v="0"/>
    <s v="4B"/>
    <x v="6"/>
    <n v="1"/>
    <n v="7"/>
    <x v="0"/>
    <x v="0"/>
  </r>
  <r>
    <n v="1771"/>
    <n v="102875805"/>
    <s v="Recovery"/>
    <n v="200"/>
    <s v="AHY"/>
    <s v="F"/>
    <n v="1"/>
    <n v="2012"/>
    <n v="2011"/>
    <n v="7"/>
    <x v="0"/>
    <s v="7B"/>
    <x v="9"/>
    <n v="1"/>
    <n v="7"/>
    <x v="0"/>
    <x v="0"/>
  </r>
  <r>
    <n v="1773"/>
    <n v="102875807"/>
    <s v="Recovery"/>
    <n v="200"/>
    <s v="AHY"/>
    <s v="F"/>
    <n v="1"/>
    <n v="2009"/>
    <n v="2008"/>
    <n v="4"/>
    <x v="0"/>
    <s v="4B"/>
    <x v="6"/>
    <n v="1"/>
    <n v="7"/>
    <x v="0"/>
    <x v="0"/>
  </r>
  <r>
    <n v="1774"/>
    <n v="102875808"/>
    <s v="Recovery"/>
    <n v="200"/>
    <s v="AHY"/>
    <s v="F"/>
    <n v="9"/>
    <n v="2007"/>
    <n v="2007"/>
    <n v="3"/>
    <x v="0"/>
    <s v="3B"/>
    <x v="1"/>
    <n v="1"/>
    <n v="7"/>
    <x v="0"/>
    <x v="0"/>
  </r>
  <r>
    <n v="1782"/>
    <n v="102875816"/>
    <s v="Recovery"/>
    <n v="200"/>
    <s v="AHY"/>
    <s v="M"/>
    <n v="9"/>
    <n v="2007"/>
    <n v="2007"/>
    <n v="3"/>
    <x v="0"/>
    <s v="3B"/>
    <x v="1"/>
    <n v="1"/>
    <n v="7"/>
    <x v="0"/>
    <x v="0"/>
  </r>
  <r>
    <n v="1783"/>
    <n v="102875817"/>
    <s v="Recovery"/>
    <n v="200"/>
    <s v="AHY"/>
    <s v="F"/>
    <n v="1"/>
    <n v="2007"/>
    <n v="2006"/>
    <n v="2"/>
    <x v="0"/>
    <s v="2B"/>
    <x v="5"/>
    <n v="1"/>
    <n v="7"/>
    <x v="0"/>
    <x v="0"/>
  </r>
  <r>
    <n v="1788"/>
    <n v="102875822"/>
    <s v="Recovery"/>
    <n v="200"/>
    <s v="AHY"/>
    <s v="F"/>
    <n v="10"/>
    <n v="2008"/>
    <n v="2008"/>
    <n v="4"/>
    <x v="0"/>
    <s v="4B"/>
    <x v="6"/>
    <n v="1"/>
    <n v="7"/>
    <x v="0"/>
    <x v="0"/>
  </r>
  <r>
    <n v="1789"/>
    <n v="102875823"/>
    <s v="Recovery"/>
    <n v="200"/>
    <s v="AHY"/>
    <s v="F"/>
    <n v="2"/>
    <n v="2008"/>
    <n v="2007"/>
    <n v="3"/>
    <x v="0"/>
    <s v="3B"/>
    <x v="1"/>
    <n v="1"/>
    <n v="7"/>
    <x v="0"/>
    <x v="0"/>
  </r>
  <r>
    <n v="1791"/>
    <n v="102875825"/>
    <s v="Recovery"/>
    <n v="200"/>
    <s v="AHY"/>
    <s v="M"/>
    <n v="1"/>
    <n v="2007"/>
    <n v="2006"/>
    <n v="2"/>
    <x v="0"/>
    <s v="2B"/>
    <x v="5"/>
    <n v="1"/>
    <n v="7"/>
    <x v="0"/>
    <x v="0"/>
  </r>
  <r>
    <n v="1794"/>
    <n v="102875828"/>
    <s v="Recovery"/>
    <n v="200"/>
    <s v="AHY"/>
    <s v="F"/>
    <n v="1"/>
    <n v="2012"/>
    <n v="2011"/>
    <n v="7"/>
    <x v="0"/>
    <s v="7B"/>
    <x v="9"/>
    <n v="1"/>
    <n v="7"/>
    <x v="0"/>
    <x v="0"/>
  </r>
  <r>
    <n v="1796"/>
    <n v="102875830"/>
    <s v="Recovery"/>
    <n v="200"/>
    <s v="AHY"/>
    <s v="M"/>
    <n v="1"/>
    <n v="2007"/>
    <n v="2006"/>
    <n v="2"/>
    <x v="0"/>
    <s v="2B"/>
    <x v="5"/>
    <n v="1"/>
    <n v="7"/>
    <x v="0"/>
    <x v="0"/>
  </r>
  <r>
    <n v="1797"/>
    <n v="102875831"/>
    <s v="Recovery"/>
    <n v="200"/>
    <s v="AHY"/>
    <s v="F"/>
    <n v="12"/>
    <n v="2010"/>
    <n v="2010"/>
    <n v="6"/>
    <x v="0"/>
    <s v="6B"/>
    <x v="2"/>
    <n v="1"/>
    <n v="7"/>
    <x v="0"/>
    <x v="0"/>
  </r>
  <r>
    <n v="1803"/>
    <n v="102875837"/>
    <s v="Recovery"/>
    <n v="200"/>
    <s v="AHY"/>
    <s v="F"/>
    <n v="11"/>
    <n v="2016"/>
    <n v="2016"/>
    <n v="12"/>
    <x v="0"/>
    <s v="12B"/>
    <x v="12"/>
    <n v="1"/>
    <n v="7"/>
    <x v="0"/>
    <x v="0"/>
  </r>
  <r>
    <n v="1808"/>
    <n v="102875842"/>
    <s v="Recovery"/>
    <n v="200"/>
    <s v="AHY"/>
    <s v="M"/>
    <n v="1"/>
    <n v="2007"/>
    <n v="2006"/>
    <n v="2"/>
    <x v="0"/>
    <s v="2B"/>
    <x v="5"/>
    <n v="1"/>
    <n v="7"/>
    <x v="0"/>
    <x v="0"/>
  </r>
  <r>
    <n v="1813"/>
    <n v="102875847"/>
    <s v="Recovery"/>
    <n v="200"/>
    <s v="AHY"/>
    <s v="F"/>
    <n v="12"/>
    <n v="2008"/>
    <n v="2008"/>
    <n v="4"/>
    <x v="0"/>
    <s v="4B"/>
    <x v="6"/>
    <n v="1"/>
    <n v="7"/>
    <x v="0"/>
    <x v="0"/>
  </r>
  <r>
    <n v="1815"/>
    <n v="102875849"/>
    <s v="Recovery"/>
    <n v="200"/>
    <s v="AHY"/>
    <s v="F"/>
    <n v="9"/>
    <n v="2007"/>
    <n v="2007"/>
    <n v="3"/>
    <x v="0"/>
    <s v="3B"/>
    <x v="1"/>
    <n v="1"/>
    <n v="7"/>
    <x v="0"/>
    <x v="0"/>
  </r>
  <r>
    <n v="1819"/>
    <n v="102875853"/>
    <s v="Recovery"/>
    <n v="200"/>
    <s v="AHY"/>
    <s v="F"/>
    <n v="9"/>
    <n v="2008"/>
    <n v="2008"/>
    <n v="4"/>
    <x v="0"/>
    <s v="4B"/>
    <x v="6"/>
    <n v="1"/>
    <n v="7"/>
    <x v="0"/>
    <x v="0"/>
  </r>
  <r>
    <n v="1824"/>
    <n v="102875858"/>
    <s v="Recovery"/>
    <n v="200"/>
    <s v="AHY"/>
    <s v="F"/>
    <n v="1"/>
    <n v="2007"/>
    <n v="2006"/>
    <n v="2"/>
    <x v="0"/>
    <s v="2B"/>
    <x v="5"/>
    <n v="1"/>
    <n v="7"/>
    <x v="0"/>
    <x v="0"/>
  </r>
  <r>
    <n v="1830"/>
    <n v="102875865"/>
    <s v="Recovery"/>
    <n v="200"/>
    <s v="AHY"/>
    <s v="F"/>
    <n v="9"/>
    <n v="2007"/>
    <n v="2007"/>
    <n v="3"/>
    <x v="0"/>
    <s v="3B"/>
    <x v="1"/>
    <n v="1"/>
    <n v="7"/>
    <x v="0"/>
    <x v="0"/>
  </r>
  <r>
    <n v="1832"/>
    <n v="102875867"/>
    <s v="Recovery"/>
    <n v="200"/>
    <s v="AHY"/>
    <s v="M"/>
    <n v="9"/>
    <n v="2014"/>
    <n v="2014"/>
    <n v="10"/>
    <x v="0"/>
    <s v="10B"/>
    <x v="7"/>
    <n v="1"/>
    <n v="7"/>
    <x v="0"/>
    <x v="0"/>
  </r>
  <r>
    <n v="1833"/>
    <n v="102875868"/>
    <s v="Recovery"/>
    <n v="200"/>
    <s v="AHY"/>
    <s v="M"/>
    <n v="12"/>
    <n v="2011"/>
    <n v="2011"/>
    <n v="7"/>
    <x v="0"/>
    <s v="7B"/>
    <x v="9"/>
    <n v="1"/>
    <n v="7"/>
    <x v="0"/>
    <x v="0"/>
  </r>
  <r>
    <n v="1834"/>
    <n v="102875869"/>
    <s v="Recovery"/>
    <n v="200"/>
    <s v="AHY"/>
    <s v="F"/>
    <n v="10"/>
    <n v="2007"/>
    <n v="2007"/>
    <n v="3"/>
    <x v="0"/>
    <s v="3B"/>
    <x v="1"/>
    <n v="1"/>
    <n v="36"/>
    <x v="12"/>
    <x v="1"/>
  </r>
  <r>
    <n v="1840"/>
    <n v="102875875"/>
    <s v="Recovery"/>
    <n v="200"/>
    <s v="AHY"/>
    <s v="M"/>
    <n v="1"/>
    <n v="2010"/>
    <n v="2009"/>
    <n v="5"/>
    <x v="0"/>
    <s v="5B"/>
    <x v="8"/>
    <n v="1"/>
    <n v="7"/>
    <x v="0"/>
    <x v="0"/>
  </r>
  <r>
    <n v="1841"/>
    <n v="102875876"/>
    <s v="Recovery"/>
    <n v="200"/>
    <s v="AHY"/>
    <s v="M"/>
    <n v="1"/>
    <n v="2011"/>
    <n v="2010"/>
    <n v="6"/>
    <x v="0"/>
    <s v="6B"/>
    <x v="2"/>
    <n v="1"/>
    <n v="7"/>
    <x v="0"/>
    <x v="0"/>
  </r>
  <r>
    <n v="1844"/>
    <n v="102875879"/>
    <s v="Recovery"/>
    <n v="200"/>
    <s v="AHY"/>
    <s v="M"/>
    <n v="12"/>
    <n v="2007"/>
    <n v="2007"/>
    <n v="3"/>
    <x v="0"/>
    <s v="3B"/>
    <x v="1"/>
    <n v="1"/>
    <n v="7"/>
    <x v="0"/>
    <x v="0"/>
  </r>
  <r>
    <n v="1845"/>
    <n v="102875880"/>
    <s v="Recovery"/>
    <n v="200"/>
    <s v="AHY"/>
    <s v="M"/>
    <n v="12"/>
    <n v="2007"/>
    <n v="2007"/>
    <n v="3"/>
    <x v="0"/>
    <s v="3B"/>
    <x v="1"/>
    <n v="1"/>
    <n v="7"/>
    <x v="0"/>
    <x v="0"/>
  </r>
  <r>
    <n v="1847"/>
    <n v="102875882"/>
    <s v="Recovery"/>
    <n v="200"/>
    <s v="AHY"/>
    <s v="M"/>
    <n v="11"/>
    <n v="2014"/>
    <n v="2014"/>
    <n v="10"/>
    <x v="0"/>
    <s v="10B"/>
    <x v="7"/>
    <n v="1"/>
    <n v="7"/>
    <x v="0"/>
    <x v="0"/>
  </r>
  <r>
    <n v="1848"/>
    <n v="102875883"/>
    <s v="Recovery"/>
    <n v="200"/>
    <s v="AHY"/>
    <s v="F"/>
    <n v="9"/>
    <n v="2007"/>
    <n v="2007"/>
    <n v="3"/>
    <x v="0"/>
    <s v="3B"/>
    <x v="1"/>
    <n v="1"/>
    <n v="7"/>
    <x v="0"/>
    <x v="0"/>
  </r>
  <r>
    <n v="1850"/>
    <n v="102875885"/>
    <s v="Recovery"/>
    <n v="200"/>
    <s v="AHY"/>
    <s v="M"/>
    <n v="9"/>
    <n v="2010"/>
    <n v="2010"/>
    <n v="6"/>
    <x v="0"/>
    <s v="6B"/>
    <x v="2"/>
    <n v="1"/>
    <n v="7"/>
    <x v="0"/>
    <x v="0"/>
  </r>
  <r>
    <n v="1853"/>
    <n v="102875888"/>
    <s v="Recovery"/>
    <n v="200"/>
    <s v="AHY"/>
    <s v="M"/>
    <n v="9"/>
    <n v="2007"/>
    <n v="2007"/>
    <n v="3"/>
    <x v="0"/>
    <s v="3B"/>
    <x v="1"/>
    <n v="1"/>
    <n v="7"/>
    <x v="0"/>
    <x v="0"/>
  </r>
  <r>
    <n v="1854"/>
    <n v="102875889"/>
    <s v="Recovery"/>
    <n v="200"/>
    <s v="AHY"/>
    <s v="F"/>
    <n v="1"/>
    <n v="2009"/>
    <n v="2008"/>
    <n v="4"/>
    <x v="0"/>
    <s v="4B"/>
    <x v="6"/>
    <n v="1"/>
    <n v="7"/>
    <x v="0"/>
    <x v="0"/>
  </r>
  <r>
    <n v="1855"/>
    <n v="102875890"/>
    <s v="Recovery"/>
    <n v="200"/>
    <s v="AHY"/>
    <s v="F"/>
    <n v="10"/>
    <n v="2006"/>
    <n v="2006"/>
    <n v="2"/>
    <x v="0"/>
    <s v="2B"/>
    <x v="5"/>
    <n v="1"/>
    <n v="7"/>
    <x v="0"/>
    <x v="0"/>
  </r>
  <r>
    <n v="1858"/>
    <n v="102875893"/>
    <s v="Recovery"/>
    <n v="200"/>
    <s v="AHY"/>
    <s v="M"/>
    <n v="2"/>
    <n v="2008"/>
    <n v="2007"/>
    <n v="3"/>
    <x v="0"/>
    <s v="3B"/>
    <x v="1"/>
    <n v="1"/>
    <n v="7"/>
    <x v="0"/>
    <x v="0"/>
  </r>
  <r>
    <n v="1862"/>
    <n v="102875897"/>
    <s v="Recovery"/>
    <n v="200"/>
    <s v="AHY"/>
    <s v="M"/>
    <n v="1"/>
    <n v="2007"/>
    <n v="2006"/>
    <n v="2"/>
    <x v="0"/>
    <s v="2B"/>
    <x v="5"/>
    <n v="1"/>
    <n v="7"/>
    <x v="0"/>
    <x v="0"/>
  </r>
  <r>
    <n v="1864"/>
    <n v="102875899"/>
    <s v="Recovery"/>
    <n v="200"/>
    <s v="AHY"/>
    <s v="M"/>
    <n v="1"/>
    <n v="2012"/>
    <n v="2011"/>
    <n v="7"/>
    <x v="0"/>
    <s v="7B"/>
    <x v="9"/>
    <n v="1"/>
    <n v="7"/>
    <x v="0"/>
    <x v="0"/>
  </r>
  <r>
    <n v="1865"/>
    <n v="102875900"/>
    <s v="Recovery"/>
    <n v="200"/>
    <s v="AHY"/>
    <s v="M"/>
    <n v="10"/>
    <n v="2006"/>
    <n v="2006"/>
    <n v="2"/>
    <x v="0"/>
    <s v="2B"/>
    <x v="5"/>
    <n v="1"/>
    <n v="7"/>
    <x v="0"/>
    <x v="0"/>
  </r>
  <r>
    <n v="1866"/>
    <n v="102875901"/>
    <s v="Recovery"/>
    <n v="200"/>
    <s v="AHY"/>
    <s v="F"/>
    <n v="1"/>
    <n v="2009"/>
    <n v="2008"/>
    <n v="4"/>
    <x v="0"/>
    <s v="4B"/>
    <x v="6"/>
    <n v="1"/>
    <n v="7"/>
    <x v="0"/>
    <x v="0"/>
  </r>
  <r>
    <n v="1870"/>
    <n v="102875905"/>
    <s v="Recovery"/>
    <n v="200"/>
    <s v="AHY"/>
    <s v="M"/>
    <n v="1"/>
    <n v="2008"/>
    <n v="2007"/>
    <n v="3"/>
    <x v="0"/>
    <s v="3B"/>
    <x v="1"/>
    <n v="1"/>
    <n v="7"/>
    <x v="0"/>
    <x v="0"/>
  </r>
  <r>
    <n v="1872"/>
    <n v="102875907"/>
    <s v="Recovery"/>
    <n v="200"/>
    <s v="AHY"/>
    <s v="F"/>
    <n v="9"/>
    <n v="2007"/>
    <n v="2007"/>
    <n v="3"/>
    <x v="0"/>
    <s v="3B"/>
    <x v="1"/>
    <n v="1"/>
    <n v="7"/>
    <x v="0"/>
    <x v="0"/>
  </r>
  <r>
    <n v="1877"/>
    <n v="102875912"/>
    <s v="Recovery"/>
    <n v="200"/>
    <s v="AHY"/>
    <s v="M"/>
    <n v="2"/>
    <n v="2008"/>
    <n v="2007"/>
    <n v="3"/>
    <x v="0"/>
    <s v="3B"/>
    <x v="1"/>
    <n v="1"/>
    <n v="7"/>
    <x v="0"/>
    <x v="0"/>
  </r>
  <r>
    <n v="1878"/>
    <n v="102875913"/>
    <s v="Recovery"/>
    <n v="200"/>
    <s v="AHY"/>
    <s v="F"/>
    <n v="1"/>
    <n v="2008"/>
    <n v="2007"/>
    <n v="3"/>
    <x v="0"/>
    <s v="3B"/>
    <x v="1"/>
    <n v="1"/>
    <n v="7"/>
    <x v="0"/>
    <x v="0"/>
  </r>
  <r>
    <n v="1881"/>
    <n v="102875916"/>
    <s v="Recovery"/>
    <n v="200"/>
    <s v="AHY"/>
    <s v="M"/>
    <n v="9"/>
    <n v="2007"/>
    <n v="2007"/>
    <n v="3"/>
    <x v="0"/>
    <s v="3B"/>
    <x v="1"/>
    <n v="1"/>
    <n v="7"/>
    <x v="0"/>
    <x v="0"/>
  </r>
  <r>
    <n v="1882"/>
    <n v="102875917"/>
    <s v="Recovery"/>
    <n v="200"/>
    <s v="AHY"/>
    <s v="F"/>
    <n v="11"/>
    <n v="2010"/>
    <n v="2010"/>
    <n v="6"/>
    <x v="0"/>
    <s v="6B"/>
    <x v="2"/>
    <n v="1"/>
    <n v="7"/>
    <x v="0"/>
    <x v="0"/>
  </r>
  <r>
    <n v="1883"/>
    <n v="102875918"/>
    <s v="Recovery"/>
    <n v="200"/>
    <s v="AHY"/>
    <s v="F"/>
    <n v="1"/>
    <n v="2008"/>
    <n v="2007"/>
    <n v="3"/>
    <x v="0"/>
    <s v="3B"/>
    <x v="1"/>
    <n v="1"/>
    <n v="7"/>
    <x v="0"/>
    <x v="0"/>
  </r>
  <r>
    <n v="1884"/>
    <n v="102875919"/>
    <s v="Recovery"/>
    <n v="200"/>
    <s v="AHY"/>
    <s v="M"/>
    <n v="1"/>
    <n v="2010"/>
    <n v="2009"/>
    <n v="5"/>
    <x v="0"/>
    <s v="5B"/>
    <x v="8"/>
    <n v="1"/>
    <n v="7"/>
    <x v="0"/>
    <x v="0"/>
  </r>
  <r>
    <n v="1890"/>
    <n v="102875925"/>
    <s v="Recovery"/>
    <n v="200"/>
    <s v="AHY"/>
    <s v="F"/>
    <n v="9"/>
    <n v="2009"/>
    <n v="2009"/>
    <n v="5"/>
    <x v="0"/>
    <s v="5B"/>
    <x v="8"/>
    <n v="1"/>
    <n v="7"/>
    <x v="0"/>
    <x v="0"/>
  </r>
  <r>
    <n v="1891"/>
    <n v="102875926"/>
    <s v="Recovery"/>
    <n v="200"/>
    <s v="AHY"/>
    <s v="F"/>
    <n v="9"/>
    <n v="2007"/>
    <n v="2007"/>
    <n v="3"/>
    <x v="0"/>
    <s v="3B"/>
    <x v="1"/>
    <n v="1"/>
    <n v="7"/>
    <x v="0"/>
    <x v="0"/>
  </r>
  <r>
    <n v="1894"/>
    <n v="102875929"/>
    <s v="Recovery"/>
    <n v="200"/>
    <s v="AHY"/>
    <s v="M"/>
    <n v="1"/>
    <n v="2007"/>
    <n v="2006"/>
    <n v="2"/>
    <x v="0"/>
    <s v="2B"/>
    <x v="5"/>
    <n v="1"/>
    <n v="7"/>
    <x v="0"/>
    <x v="0"/>
  </r>
  <r>
    <n v="1897"/>
    <n v="102875932"/>
    <s v="Recovery"/>
    <n v="200"/>
    <s v="AHY"/>
    <s v="F"/>
    <n v="1"/>
    <n v="2007"/>
    <n v="2006"/>
    <n v="2"/>
    <x v="0"/>
    <s v="2B"/>
    <x v="5"/>
    <n v="1"/>
    <n v="7"/>
    <x v="0"/>
    <x v="0"/>
  </r>
  <r>
    <n v="1898"/>
    <n v="102875933"/>
    <s v="Recovery"/>
    <n v="200"/>
    <s v="AHY"/>
    <s v="F"/>
    <n v="9"/>
    <n v="2014"/>
    <n v="2014"/>
    <n v="10"/>
    <x v="0"/>
    <s v="10B"/>
    <x v="7"/>
    <n v="1"/>
    <n v="7"/>
    <x v="0"/>
    <x v="0"/>
  </r>
  <r>
    <n v="1899"/>
    <n v="102875934"/>
    <s v="Recovery"/>
    <n v="200"/>
    <s v="AHY"/>
    <s v="M"/>
    <n v="9"/>
    <n v="2007"/>
    <n v="2007"/>
    <n v="3"/>
    <x v="0"/>
    <s v="3B"/>
    <x v="1"/>
    <n v="1"/>
    <n v="7"/>
    <x v="0"/>
    <x v="0"/>
  </r>
  <r>
    <n v="1903"/>
    <n v="102875938"/>
    <s v="Recovery"/>
    <n v="200"/>
    <s v="AHY"/>
    <s v="F"/>
    <n v="1"/>
    <n v="2008"/>
    <n v="2007"/>
    <n v="3"/>
    <x v="0"/>
    <s v="3B"/>
    <x v="1"/>
    <n v="1"/>
    <n v="7"/>
    <x v="0"/>
    <x v="0"/>
  </r>
  <r>
    <n v="1904"/>
    <n v="102875939"/>
    <s v="Recovery"/>
    <n v="200"/>
    <s v="AHY"/>
    <s v="M"/>
    <n v="10"/>
    <n v="2006"/>
    <n v="2006"/>
    <n v="2"/>
    <x v="0"/>
    <s v="2B"/>
    <x v="5"/>
    <n v="1"/>
    <n v="7"/>
    <x v="0"/>
    <x v="0"/>
  </r>
  <r>
    <n v="1907"/>
    <n v="102875942"/>
    <s v="Recovery"/>
    <n v="200"/>
    <s v="AHY"/>
    <s v="M"/>
    <n v="1"/>
    <n v="2009"/>
    <n v="2008"/>
    <n v="4"/>
    <x v="0"/>
    <s v="4B"/>
    <x v="6"/>
    <n v="1"/>
    <n v="7"/>
    <x v="0"/>
    <x v="0"/>
  </r>
  <r>
    <n v="1909"/>
    <n v="102875944"/>
    <s v="Recovery"/>
    <n v="200"/>
    <s v="AHY"/>
    <s v="M"/>
    <n v="9"/>
    <n v="2010"/>
    <n v="2010"/>
    <n v="6"/>
    <x v="0"/>
    <s v="6B"/>
    <x v="2"/>
    <n v="1"/>
    <n v="7"/>
    <x v="0"/>
    <x v="0"/>
  </r>
  <r>
    <n v="1911"/>
    <n v="102875946"/>
    <s v="Recovery"/>
    <n v="200"/>
    <s v="AHY"/>
    <s v="F"/>
    <n v="12"/>
    <n v="2010"/>
    <n v="2010"/>
    <n v="6"/>
    <x v="0"/>
    <s v="6B"/>
    <x v="2"/>
    <n v="1"/>
    <n v="7"/>
    <x v="0"/>
    <x v="0"/>
  </r>
  <r>
    <n v="1915"/>
    <n v="102875950"/>
    <s v="Recovery"/>
    <n v="200"/>
    <s v="AHY"/>
    <s v="F"/>
    <n v="1"/>
    <n v="2007"/>
    <n v="2006"/>
    <n v="2"/>
    <x v="0"/>
    <s v="2B"/>
    <x v="5"/>
    <n v="1"/>
    <n v="7"/>
    <x v="0"/>
    <x v="0"/>
  </r>
  <r>
    <n v="1922"/>
    <n v="102875957"/>
    <s v="Recovery"/>
    <n v="200"/>
    <s v="AHY"/>
    <s v="M"/>
    <n v="1"/>
    <n v="2007"/>
    <n v="2006"/>
    <n v="2"/>
    <x v="0"/>
    <s v="2B"/>
    <x v="5"/>
    <n v="1"/>
    <n v="7"/>
    <x v="0"/>
    <x v="0"/>
  </r>
  <r>
    <n v="1923"/>
    <n v="102875958"/>
    <s v="Recovery"/>
    <n v="200"/>
    <s v="AHY"/>
    <s v="M"/>
    <n v="1"/>
    <n v="2012"/>
    <n v="2011"/>
    <n v="7"/>
    <x v="0"/>
    <s v="7B"/>
    <x v="9"/>
    <n v="1"/>
    <n v="7"/>
    <x v="0"/>
    <x v="0"/>
  </r>
  <r>
    <n v="1924"/>
    <n v="102875959"/>
    <s v="Recovery"/>
    <n v="200"/>
    <s v="AHY"/>
    <s v="M"/>
    <n v="2"/>
    <n v="2008"/>
    <n v="2007"/>
    <n v="3"/>
    <x v="0"/>
    <s v="3B"/>
    <x v="1"/>
    <n v="1"/>
    <n v="7"/>
    <x v="0"/>
    <x v="0"/>
  </r>
  <r>
    <n v="1925"/>
    <n v="102875960"/>
    <s v="Recovery"/>
    <n v="200"/>
    <s v="AHY"/>
    <s v="F"/>
    <n v="1"/>
    <n v="2009"/>
    <n v="2008"/>
    <n v="4"/>
    <x v="0"/>
    <s v="4B"/>
    <x v="6"/>
    <n v="1"/>
    <n v="7"/>
    <x v="0"/>
    <x v="0"/>
  </r>
  <r>
    <n v="1926"/>
    <n v="102875961"/>
    <s v="Recovery"/>
    <n v="200"/>
    <s v="AHY"/>
    <s v="M"/>
    <n v="9"/>
    <n v="2013"/>
    <n v="2013"/>
    <n v="9"/>
    <x v="0"/>
    <s v="9B"/>
    <x v="4"/>
    <n v="1"/>
    <n v="7"/>
    <x v="0"/>
    <x v="0"/>
  </r>
  <r>
    <n v="1931"/>
    <n v="102875966"/>
    <s v="Recovery"/>
    <n v="200"/>
    <s v="AHY"/>
    <s v="F"/>
    <n v="12"/>
    <n v="2008"/>
    <n v="2008"/>
    <n v="4"/>
    <x v="0"/>
    <s v="4B"/>
    <x v="6"/>
    <n v="1"/>
    <n v="7"/>
    <x v="0"/>
    <x v="0"/>
  </r>
  <r>
    <n v="1932"/>
    <n v="102875967"/>
    <s v="Recovery"/>
    <n v="200"/>
    <s v="AHY"/>
    <s v="M"/>
    <n v="10"/>
    <n v="2006"/>
    <n v="2006"/>
    <n v="2"/>
    <x v="0"/>
    <s v="2B"/>
    <x v="5"/>
    <n v="1"/>
    <n v="7"/>
    <x v="0"/>
    <x v="0"/>
  </r>
  <r>
    <n v="1935"/>
    <n v="102875970"/>
    <s v="Recovery"/>
    <n v="200"/>
    <s v="AHY"/>
    <s v="F"/>
    <n v="1"/>
    <n v="2007"/>
    <n v="2006"/>
    <n v="2"/>
    <x v="0"/>
    <s v="2B"/>
    <x v="5"/>
    <n v="1"/>
    <n v="7"/>
    <x v="0"/>
    <x v="0"/>
  </r>
  <r>
    <n v="1937"/>
    <n v="102875972"/>
    <s v="Recovery"/>
    <n v="200"/>
    <s v="AHY"/>
    <s v="M"/>
    <n v="1"/>
    <n v="2011"/>
    <n v="2010"/>
    <n v="6"/>
    <x v="0"/>
    <s v="6B"/>
    <x v="2"/>
    <n v="1"/>
    <n v="7"/>
    <x v="0"/>
    <x v="0"/>
  </r>
  <r>
    <n v="1938"/>
    <n v="102875973"/>
    <s v="Recovery"/>
    <n v="200"/>
    <s v="AHY"/>
    <s v="F"/>
    <n v="1"/>
    <n v="2007"/>
    <n v="2006"/>
    <n v="2"/>
    <x v="0"/>
    <s v="2B"/>
    <x v="5"/>
    <n v="1"/>
    <n v="7"/>
    <x v="0"/>
    <x v="0"/>
  </r>
  <r>
    <n v="1942"/>
    <n v="102875977"/>
    <s v="Recovery"/>
    <n v="200"/>
    <s v="AHY"/>
    <s v="F"/>
    <n v="9"/>
    <n v="2006"/>
    <n v="2006"/>
    <n v="2"/>
    <x v="0"/>
    <s v="2B"/>
    <x v="5"/>
    <n v="1"/>
    <n v="7"/>
    <x v="0"/>
    <x v="0"/>
  </r>
  <r>
    <n v="1943"/>
    <n v="102875978"/>
    <s v="Recovery"/>
    <n v="200"/>
    <s v="AHY"/>
    <s v="M"/>
    <n v="1"/>
    <n v="2007"/>
    <n v="2006"/>
    <n v="2"/>
    <x v="0"/>
    <s v="2B"/>
    <x v="5"/>
    <n v="1"/>
    <n v="7"/>
    <x v="0"/>
    <x v="0"/>
  </r>
  <r>
    <n v="1946"/>
    <n v="102875981"/>
    <s v="Recovery"/>
    <n v="200"/>
    <s v="AHY"/>
    <s v="M"/>
    <n v="1"/>
    <n v="2007"/>
    <n v="2006"/>
    <n v="2"/>
    <x v="0"/>
    <s v="2B"/>
    <x v="5"/>
    <n v="1"/>
    <n v="7"/>
    <x v="0"/>
    <x v="0"/>
  </r>
  <r>
    <n v="1949"/>
    <n v="102875984"/>
    <s v="Recovery"/>
    <n v="200"/>
    <s v="AHY"/>
    <s v="F"/>
    <n v="1"/>
    <n v="2008"/>
    <n v="2007"/>
    <n v="3"/>
    <x v="0"/>
    <s v="3B"/>
    <x v="1"/>
    <n v="1"/>
    <n v="7"/>
    <x v="0"/>
    <x v="0"/>
  </r>
  <r>
    <n v="1955"/>
    <n v="102875990"/>
    <s v="Recovery"/>
    <n v="200"/>
    <s v="AHY"/>
    <s v="F"/>
    <n v="1"/>
    <n v="2009"/>
    <n v="2008"/>
    <n v="4"/>
    <x v="0"/>
    <s v="4B"/>
    <x v="6"/>
    <n v="1"/>
    <n v="7"/>
    <x v="0"/>
    <x v="0"/>
  </r>
  <r>
    <n v="1963"/>
    <n v="102875998"/>
    <s v="Recovery"/>
    <n v="200"/>
    <s v="AHY"/>
    <s v="F"/>
    <n v="1"/>
    <n v="2009"/>
    <n v="2008"/>
    <n v="4"/>
    <x v="0"/>
    <s v="4B"/>
    <x v="6"/>
    <n v="1"/>
    <n v="7"/>
    <x v="0"/>
    <x v="0"/>
  </r>
  <r>
    <n v="1966"/>
    <n v="103874001"/>
    <s v="Recovery"/>
    <n v="200"/>
    <s v="AHY"/>
    <s v="F"/>
    <n v="9"/>
    <n v="2013"/>
    <n v="2013"/>
    <n v="9"/>
    <x v="0"/>
    <s v="9B"/>
    <x v="4"/>
    <n v="1"/>
    <n v="7"/>
    <x v="0"/>
    <x v="0"/>
  </r>
  <r>
    <n v="1975"/>
    <n v="103874010"/>
    <s v="Recovery"/>
    <n v="200"/>
    <s v="AHY"/>
    <s v="M"/>
    <n v="1"/>
    <n v="2009"/>
    <n v="2008"/>
    <n v="4"/>
    <x v="0"/>
    <s v="4B"/>
    <x v="6"/>
    <n v="1"/>
    <n v="7"/>
    <x v="0"/>
    <x v="0"/>
  </r>
  <r>
    <n v="1978"/>
    <n v="103874013"/>
    <s v="Recovery"/>
    <n v="200"/>
    <s v="AHY"/>
    <s v="M"/>
    <n v="9"/>
    <n v="2010"/>
    <n v="2010"/>
    <n v="6"/>
    <x v="0"/>
    <s v="6B"/>
    <x v="2"/>
    <n v="1"/>
    <n v="7"/>
    <x v="0"/>
    <x v="0"/>
  </r>
  <r>
    <n v="1983"/>
    <n v="103874018"/>
    <s v="Recovery"/>
    <n v="200"/>
    <s v="AHY"/>
    <s v="M"/>
    <n v="9"/>
    <n v="2013"/>
    <n v="2013"/>
    <n v="9"/>
    <x v="0"/>
    <s v="9B"/>
    <x v="4"/>
    <n v="1"/>
    <n v="7"/>
    <x v="0"/>
    <x v="0"/>
  </r>
  <r>
    <n v="1986"/>
    <n v="103874021"/>
    <s v="Recovery"/>
    <n v="200"/>
    <s v="AHY"/>
    <s v="M"/>
    <n v="1"/>
    <n v="2010"/>
    <n v="2009"/>
    <n v="5"/>
    <x v="0"/>
    <s v="5B"/>
    <x v="8"/>
    <n v="1"/>
    <n v="7"/>
    <x v="0"/>
    <x v="0"/>
  </r>
  <r>
    <n v="1993"/>
    <n v="103874028"/>
    <s v="Recovery"/>
    <n v="200"/>
    <s v="AHY"/>
    <s v="F"/>
    <n v="9"/>
    <n v="2007"/>
    <n v="2007"/>
    <n v="3"/>
    <x v="0"/>
    <s v="3B"/>
    <x v="1"/>
    <n v="1"/>
    <n v="7"/>
    <x v="0"/>
    <x v="0"/>
  </r>
  <r>
    <n v="2000"/>
    <n v="103874035"/>
    <s v="Recovery"/>
    <n v="200"/>
    <s v="AHY"/>
    <s v="M"/>
    <n v="9"/>
    <n v="2011"/>
    <n v="2011"/>
    <n v="7"/>
    <x v="0"/>
    <s v="7B"/>
    <x v="9"/>
    <n v="1"/>
    <n v="7"/>
    <x v="0"/>
    <x v="0"/>
  </r>
  <r>
    <n v="2006"/>
    <n v="103874041"/>
    <s v="Recovery"/>
    <n v="200"/>
    <s v="AHY"/>
    <s v="F"/>
    <n v="12"/>
    <n v="2009"/>
    <n v="2009"/>
    <n v="5"/>
    <x v="0"/>
    <s v="5B"/>
    <x v="8"/>
    <n v="1"/>
    <n v="7"/>
    <x v="0"/>
    <x v="0"/>
  </r>
  <r>
    <n v="2007"/>
    <n v="103874042"/>
    <s v="Recovery"/>
    <n v="200"/>
    <s v="AHY"/>
    <s v="F"/>
    <n v="9"/>
    <n v="2007"/>
    <n v="2007"/>
    <n v="3"/>
    <x v="0"/>
    <s v="3B"/>
    <x v="1"/>
    <n v="1"/>
    <n v="7"/>
    <x v="0"/>
    <x v="0"/>
  </r>
  <r>
    <n v="2010"/>
    <n v="103874045"/>
    <s v="Recovery"/>
    <n v="200"/>
    <s v="AHY"/>
    <s v="M"/>
    <n v="11"/>
    <n v="2010"/>
    <n v="2010"/>
    <n v="6"/>
    <x v="0"/>
    <s v="6B"/>
    <x v="2"/>
    <n v="1"/>
    <n v="7"/>
    <x v="0"/>
    <x v="0"/>
  </r>
  <r>
    <n v="2017"/>
    <n v="103874052"/>
    <s v="Recovery"/>
    <n v="200"/>
    <s v="AHY"/>
    <s v="F"/>
    <n v="1"/>
    <n v="2011"/>
    <n v="2010"/>
    <n v="6"/>
    <x v="0"/>
    <s v="6B"/>
    <x v="2"/>
    <n v="1"/>
    <n v="7"/>
    <x v="0"/>
    <x v="0"/>
  </r>
  <r>
    <n v="2022"/>
    <n v="103874057"/>
    <s v="Recovery"/>
    <n v="200"/>
    <s v="AHY"/>
    <s v="F"/>
    <n v="12"/>
    <n v="2012"/>
    <n v="2012"/>
    <n v="8"/>
    <x v="0"/>
    <s v="8B"/>
    <x v="3"/>
    <n v="1"/>
    <n v="7"/>
    <x v="0"/>
    <x v="0"/>
  </r>
  <r>
    <n v="2023"/>
    <n v="103874058"/>
    <s v="Recovery"/>
    <n v="200"/>
    <s v="AHY"/>
    <s v="M"/>
    <n v="12"/>
    <n v="2013"/>
    <n v="2013"/>
    <n v="9"/>
    <x v="0"/>
    <s v="9B"/>
    <x v="4"/>
    <n v="1"/>
    <n v="7"/>
    <x v="0"/>
    <x v="0"/>
  </r>
  <r>
    <n v="2031"/>
    <n v="103874066"/>
    <s v="Recovery"/>
    <n v="200"/>
    <s v="AHY"/>
    <s v="F"/>
    <n v="9"/>
    <n v="2011"/>
    <n v="2011"/>
    <n v="7"/>
    <x v="0"/>
    <s v="7B"/>
    <x v="9"/>
    <n v="1"/>
    <n v="7"/>
    <x v="0"/>
    <x v="0"/>
  </r>
  <r>
    <n v="2041"/>
    <n v="103874076"/>
    <s v="Recovery"/>
    <n v="200"/>
    <s v="AHY"/>
    <s v="M"/>
    <n v="1"/>
    <n v="2009"/>
    <n v="2008"/>
    <n v="4"/>
    <x v="0"/>
    <s v="4B"/>
    <x v="6"/>
    <n v="1"/>
    <n v="7"/>
    <x v="0"/>
    <x v="0"/>
  </r>
  <r>
    <n v="2053"/>
    <n v="103874088"/>
    <s v="Recovery"/>
    <n v="200"/>
    <s v="AHY"/>
    <s v="M"/>
    <n v="9"/>
    <n v="2012"/>
    <n v="2012"/>
    <n v="8"/>
    <x v="0"/>
    <s v="8B"/>
    <x v="3"/>
    <n v="1"/>
    <n v="7"/>
    <x v="0"/>
    <x v="0"/>
  </r>
  <r>
    <n v="2072"/>
    <n v="103874607"/>
    <s v="Recovery"/>
    <n v="200"/>
    <s v="AHY"/>
    <s v="M"/>
    <n v="12"/>
    <n v="2017"/>
    <n v="2017"/>
    <n v="13"/>
    <x v="0"/>
    <s v="13B"/>
    <x v="13"/>
    <n v="1"/>
    <n v="7"/>
    <x v="0"/>
    <x v="0"/>
  </r>
  <r>
    <n v="2076"/>
    <n v="103874611"/>
    <s v="Recovery"/>
    <n v="200"/>
    <s v="AHY"/>
    <s v="M"/>
    <n v="12"/>
    <n v="2016"/>
    <n v="2016"/>
    <n v="12"/>
    <x v="0"/>
    <s v="12B"/>
    <x v="12"/>
    <n v="1"/>
    <n v="7"/>
    <x v="0"/>
    <x v="0"/>
  </r>
  <r>
    <n v="2081"/>
    <n v="103874616"/>
    <s v="Recovery"/>
    <n v="200"/>
    <s v="AHY"/>
    <s v="M"/>
    <n v="9"/>
    <n v="2009"/>
    <n v="2009"/>
    <n v="5"/>
    <x v="0"/>
    <s v="5B"/>
    <x v="8"/>
    <n v="1"/>
    <n v="7"/>
    <x v="0"/>
    <x v="0"/>
  </r>
  <r>
    <n v="2085"/>
    <n v="103874620"/>
    <s v="Recovery"/>
    <n v="200"/>
    <s v="AHY"/>
    <s v="M"/>
    <n v="1"/>
    <n v="2010"/>
    <n v="2009"/>
    <n v="5"/>
    <x v="0"/>
    <s v="5B"/>
    <x v="8"/>
    <n v="1"/>
    <n v="7"/>
    <x v="0"/>
    <x v="0"/>
  </r>
  <r>
    <n v="2095"/>
    <n v="103874630"/>
    <s v="Recovery"/>
    <n v="200"/>
    <s v="AHY"/>
    <s v="M"/>
    <n v="1"/>
    <n v="2013"/>
    <n v="2012"/>
    <n v="8"/>
    <x v="0"/>
    <s v="8B"/>
    <x v="3"/>
    <n v="1"/>
    <n v="7"/>
    <x v="0"/>
    <x v="0"/>
  </r>
  <r>
    <n v="2096"/>
    <n v="103874631"/>
    <s v="Recovery"/>
    <n v="200"/>
    <s v="AHY"/>
    <s v="M"/>
    <n v="9"/>
    <n v="2013"/>
    <n v="2013"/>
    <n v="9"/>
    <x v="0"/>
    <s v="9B"/>
    <x v="4"/>
    <n v="1"/>
    <n v="7"/>
    <x v="0"/>
    <x v="0"/>
  </r>
  <r>
    <n v="2098"/>
    <n v="103874633"/>
    <s v="Recovery"/>
    <n v="200"/>
    <s v="AHY"/>
    <s v="F"/>
    <n v="1"/>
    <n v="2018"/>
    <n v="2017"/>
    <n v="13"/>
    <x v="0"/>
    <s v="13B"/>
    <x v="13"/>
    <n v="1"/>
    <n v="7"/>
    <x v="0"/>
    <x v="0"/>
  </r>
  <r>
    <n v="2099"/>
    <n v="103874634"/>
    <s v="Recovery"/>
    <n v="200"/>
    <s v="AHY"/>
    <s v="M"/>
    <n v="9"/>
    <n v="2011"/>
    <n v="2011"/>
    <n v="7"/>
    <x v="0"/>
    <s v="7B"/>
    <x v="9"/>
    <n v="1"/>
    <n v="7"/>
    <x v="0"/>
    <x v="0"/>
  </r>
  <r>
    <n v="2101"/>
    <n v="103874636"/>
    <s v="Recovery"/>
    <n v="200"/>
    <s v="AHY"/>
    <s v="M"/>
    <n v="9"/>
    <n v="2008"/>
    <n v="2008"/>
    <n v="4"/>
    <x v="0"/>
    <s v="4B"/>
    <x v="6"/>
    <n v="1"/>
    <n v="7"/>
    <x v="0"/>
    <x v="0"/>
  </r>
  <r>
    <n v="2103"/>
    <n v="103874638"/>
    <s v="Recovery"/>
    <n v="200"/>
    <s v="AHY"/>
    <s v="M"/>
    <n v="1"/>
    <n v="2014"/>
    <n v="2013"/>
    <n v="9"/>
    <x v="0"/>
    <s v="9B"/>
    <x v="4"/>
    <n v="1"/>
    <n v="7"/>
    <x v="0"/>
    <x v="0"/>
  </r>
  <r>
    <n v="2108"/>
    <n v="103874643"/>
    <s v="Recovery"/>
    <n v="200"/>
    <s v="AHY"/>
    <s v="M"/>
    <n v="1"/>
    <n v="2010"/>
    <n v="2009"/>
    <n v="5"/>
    <x v="0"/>
    <s v="5B"/>
    <x v="8"/>
    <n v="1"/>
    <n v="7"/>
    <x v="0"/>
    <x v="0"/>
  </r>
  <r>
    <n v="2110"/>
    <n v="103874645"/>
    <s v="Recovery"/>
    <n v="200"/>
    <s v="AHY"/>
    <s v="M"/>
    <n v="1"/>
    <n v="2008"/>
    <n v="2007"/>
    <n v="3"/>
    <x v="0"/>
    <s v="3B"/>
    <x v="1"/>
    <n v="1"/>
    <n v="7"/>
    <x v="0"/>
    <x v="0"/>
  </r>
  <r>
    <n v="2112"/>
    <n v="103874647"/>
    <s v="Recovery"/>
    <n v="200"/>
    <s v="AHY"/>
    <s v="F"/>
    <n v="1"/>
    <n v="2010"/>
    <n v="2009"/>
    <n v="5"/>
    <x v="0"/>
    <s v="5B"/>
    <x v="8"/>
    <n v="1"/>
    <n v="7"/>
    <x v="0"/>
    <x v="0"/>
  </r>
  <r>
    <n v="2114"/>
    <n v="103874649"/>
    <s v="Recovery"/>
    <n v="200"/>
    <s v="AHY"/>
    <s v="M"/>
    <n v="1"/>
    <n v="2010"/>
    <n v="2009"/>
    <n v="5"/>
    <x v="0"/>
    <s v="5B"/>
    <x v="8"/>
    <n v="1"/>
    <n v="7"/>
    <x v="0"/>
    <x v="0"/>
  </r>
  <r>
    <n v="2119"/>
    <n v="103874654"/>
    <s v="Recovery"/>
    <n v="200"/>
    <s v="AHY"/>
    <s v="M"/>
    <n v="9"/>
    <n v="2008"/>
    <n v="2008"/>
    <n v="4"/>
    <x v="0"/>
    <s v="4B"/>
    <x v="6"/>
    <n v="1"/>
    <n v="7"/>
    <x v="0"/>
    <x v="0"/>
  </r>
  <r>
    <n v="2121"/>
    <n v="103874656"/>
    <s v="Recovery"/>
    <n v="200"/>
    <s v="AHY"/>
    <s v="M"/>
    <n v="9"/>
    <n v="2007"/>
    <n v="2007"/>
    <n v="3"/>
    <x v="0"/>
    <s v="3B"/>
    <x v="1"/>
    <n v="1"/>
    <n v="7"/>
    <x v="0"/>
    <x v="0"/>
  </r>
  <r>
    <n v="2122"/>
    <n v="103874657"/>
    <s v="Recovery"/>
    <n v="200"/>
    <s v="AHY"/>
    <s v="M"/>
    <n v="9"/>
    <n v="2011"/>
    <n v="2011"/>
    <n v="7"/>
    <x v="0"/>
    <s v="7B"/>
    <x v="9"/>
    <n v="1"/>
    <n v="7"/>
    <x v="0"/>
    <x v="0"/>
  </r>
  <r>
    <n v="2124"/>
    <n v="103874659"/>
    <s v="Recovery"/>
    <n v="200"/>
    <s v="AHY"/>
    <s v="F"/>
    <n v="9"/>
    <n v="2007"/>
    <n v="2007"/>
    <n v="3"/>
    <x v="0"/>
    <s v="3B"/>
    <x v="1"/>
    <n v="1"/>
    <n v="7"/>
    <x v="0"/>
    <x v="0"/>
  </r>
  <r>
    <n v="2125"/>
    <n v="103874660"/>
    <s v="Recovery"/>
    <n v="200"/>
    <s v="AHY"/>
    <s v="F"/>
    <n v="9"/>
    <n v="2013"/>
    <n v="2013"/>
    <n v="9"/>
    <x v="0"/>
    <s v="9B"/>
    <x v="4"/>
    <n v="1"/>
    <n v="7"/>
    <x v="0"/>
    <x v="0"/>
  </r>
  <r>
    <n v="2126"/>
    <n v="103874661"/>
    <s v="Recovery"/>
    <n v="200"/>
    <s v="AHY"/>
    <s v="M"/>
    <n v="1"/>
    <n v="2010"/>
    <n v="2009"/>
    <n v="5"/>
    <x v="0"/>
    <s v="5B"/>
    <x v="8"/>
    <n v="1"/>
    <n v="7"/>
    <x v="0"/>
    <x v="0"/>
  </r>
  <r>
    <n v="2127"/>
    <n v="103874662"/>
    <s v="Recovery"/>
    <n v="200"/>
    <s v="AHY"/>
    <s v="F"/>
    <n v="9"/>
    <n v="2011"/>
    <n v="2011"/>
    <n v="7"/>
    <x v="0"/>
    <s v="7B"/>
    <x v="9"/>
    <n v="1"/>
    <n v="7"/>
    <x v="0"/>
    <x v="0"/>
  </r>
  <r>
    <n v="2131"/>
    <n v="103874666"/>
    <s v="Recovery"/>
    <n v="200"/>
    <s v="AHY"/>
    <s v="F"/>
    <n v="1"/>
    <n v="2010"/>
    <n v="2009"/>
    <n v="5"/>
    <x v="0"/>
    <s v="5B"/>
    <x v="8"/>
    <n v="1"/>
    <n v="7"/>
    <x v="0"/>
    <x v="0"/>
  </r>
  <r>
    <n v="2132"/>
    <n v="103874667"/>
    <s v="Recovery"/>
    <n v="200"/>
    <s v="HY"/>
    <s v="M"/>
    <n v="9"/>
    <n v="2007"/>
    <n v="2007"/>
    <n v="3"/>
    <x v="0"/>
    <s v="3B"/>
    <x v="1"/>
    <n v="1"/>
    <n v="7"/>
    <x v="0"/>
    <x v="0"/>
  </r>
  <r>
    <n v="2136"/>
    <n v="103874671"/>
    <s v="Recovery"/>
    <n v="200"/>
    <s v="AHY"/>
    <s v="F"/>
    <n v="1"/>
    <n v="2010"/>
    <n v="2009"/>
    <n v="5"/>
    <x v="0"/>
    <s v="5B"/>
    <x v="8"/>
    <n v="1"/>
    <n v="7"/>
    <x v="0"/>
    <x v="0"/>
  </r>
  <r>
    <n v="2141"/>
    <n v="103874676"/>
    <s v="Recovery"/>
    <n v="200"/>
    <s v="AHY"/>
    <s v="M"/>
    <n v="1"/>
    <n v="2010"/>
    <n v="2009"/>
    <n v="5"/>
    <x v="0"/>
    <s v="5B"/>
    <x v="8"/>
    <n v="1"/>
    <n v="7"/>
    <x v="0"/>
    <x v="0"/>
  </r>
  <r>
    <n v="2143"/>
    <n v="103874678"/>
    <s v="Recovery"/>
    <n v="200"/>
    <s v="AHY"/>
    <s v="F"/>
    <n v="1"/>
    <n v="2010"/>
    <n v="2009"/>
    <n v="5"/>
    <x v="0"/>
    <s v="5B"/>
    <x v="8"/>
    <n v="1"/>
    <n v="7"/>
    <x v="0"/>
    <x v="0"/>
  </r>
  <r>
    <n v="2149"/>
    <n v="103874684"/>
    <s v="Recovery"/>
    <n v="200"/>
    <s v="AHY"/>
    <s v="F"/>
    <n v="1"/>
    <n v="2019"/>
    <n v="2018"/>
    <n v="14"/>
    <x v="0"/>
    <s v="14B"/>
    <x v="10"/>
    <n v="1"/>
    <n v="7"/>
    <x v="0"/>
    <x v="0"/>
  </r>
  <r>
    <n v="2150"/>
    <n v="103874685"/>
    <s v="Recovery"/>
    <n v="200"/>
    <s v="HY"/>
    <s v="F"/>
    <n v="9"/>
    <n v="2007"/>
    <n v="2007"/>
    <n v="3"/>
    <x v="0"/>
    <s v="3B"/>
    <x v="1"/>
    <n v="1"/>
    <n v="7"/>
    <x v="0"/>
    <x v="0"/>
  </r>
  <r>
    <n v="2151"/>
    <n v="103874686"/>
    <s v="Recovery"/>
    <n v="200"/>
    <s v="HY"/>
    <s v="M"/>
    <n v="9"/>
    <n v="2007"/>
    <n v="2007"/>
    <n v="3"/>
    <x v="0"/>
    <s v="3B"/>
    <x v="1"/>
    <n v="1"/>
    <n v="7"/>
    <x v="0"/>
    <x v="0"/>
  </r>
  <r>
    <n v="2153"/>
    <n v="103874688"/>
    <s v="Recovery"/>
    <n v="200"/>
    <s v="AHY"/>
    <s v="M"/>
    <n v="1"/>
    <n v="2009"/>
    <n v="2008"/>
    <n v="4"/>
    <x v="0"/>
    <s v="4B"/>
    <x v="6"/>
    <n v="1"/>
    <n v="7"/>
    <x v="0"/>
    <x v="0"/>
  </r>
  <r>
    <n v="2154"/>
    <n v="103874689"/>
    <s v="Recovery"/>
    <n v="200"/>
    <s v="AHY"/>
    <s v="M"/>
    <n v="1"/>
    <n v="2009"/>
    <n v="2008"/>
    <n v="4"/>
    <x v="0"/>
    <s v="4B"/>
    <x v="6"/>
    <n v="1"/>
    <n v="7"/>
    <x v="0"/>
    <x v="0"/>
  </r>
  <r>
    <n v="2156"/>
    <n v="103874691"/>
    <s v="Recovery"/>
    <n v="200"/>
    <s v="AHY"/>
    <s v="M"/>
    <n v="9"/>
    <n v="2007"/>
    <n v="2007"/>
    <n v="3"/>
    <x v="0"/>
    <s v="3B"/>
    <x v="1"/>
    <n v="1"/>
    <n v="7"/>
    <x v="0"/>
    <x v="0"/>
  </r>
  <r>
    <n v="2157"/>
    <n v="103874692"/>
    <s v="Recovery"/>
    <n v="200"/>
    <s v="AHY"/>
    <s v="M"/>
    <n v="9"/>
    <n v="2010"/>
    <n v="2010"/>
    <n v="6"/>
    <x v="0"/>
    <s v="6B"/>
    <x v="2"/>
    <n v="1"/>
    <n v="7"/>
    <x v="0"/>
    <x v="0"/>
  </r>
  <r>
    <n v="2160"/>
    <n v="103874695"/>
    <s v="Recovery"/>
    <n v="200"/>
    <s v="AHY"/>
    <s v="M"/>
    <n v="1"/>
    <n v="2008"/>
    <n v="2007"/>
    <n v="3"/>
    <x v="0"/>
    <s v="3B"/>
    <x v="1"/>
    <n v="1"/>
    <n v="7"/>
    <x v="0"/>
    <x v="0"/>
  </r>
  <r>
    <n v="2162"/>
    <n v="103874697"/>
    <s v="Recovery"/>
    <n v="200"/>
    <s v="AHY"/>
    <s v="M"/>
    <n v="9"/>
    <n v="2010"/>
    <n v="2010"/>
    <n v="6"/>
    <x v="0"/>
    <s v="6B"/>
    <x v="2"/>
    <n v="1"/>
    <n v="7"/>
    <x v="0"/>
    <x v="0"/>
  </r>
  <r>
    <n v="2169"/>
    <n v="103874704"/>
    <s v="Recovery"/>
    <n v="200"/>
    <s v="AHY"/>
    <s v="M"/>
    <n v="11"/>
    <n v="2014"/>
    <n v="2014"/>
    <n v="10"/>
    <x v="0"/>
    <s v="10B"/>
    <x v="7"/>
    <n v="1"/>
    <n v="7"/>
    <x v="0"/>
    <x v="0"/>
  </r>
  <r>
    <n v="2172"/>
    <n v="103874707"/>
    <s v="Recovery"/>
    <n v="200"/>
    <s v="AHY"/>
    <s v="M"/>
    <n v="9"/>
    <n v="2014"/>
    <n v="2014"/>
    <n v="10"/>
    <x v="0"/>
    <s v="10B"/>
    <x v="7"/>
    <n v="1"/>
    <n v="7"/>
    <x v="0"/>
    <x v="0"/>
  </r>
  <r>
    <n v="2176"/>
    <n v="103874711"/>
    <s v="Recovery"/>
    <n v="200"/>
    <s v="AHY"/>
    <s v="F"/>
    <n v="1"/>
    <n v="2010"/>
    <n v="2009"/>
    <n v="5"/>
    <x v="0"/>
    <s v="5B"/>
    <x v="8"/>
    <n v="1"/>
    <n v="7"/>
    <x v="0"/>
    <x v="0"/>
  </r>
  <r>
    <n v="2183"/>
    <n v="103874718"/>
    <s v="Recovery"/>
    <n v="200"/>
    <s v="AHY"/>
    <s v="F"/>
    <n v="9"/>
    <n v="2008"/>
    <n v="2008"/>
    <n v="4"/>
    <x v="0"/>
    <s v="4B"/>
    <x v="6"/>
    <n v="1"/>
    <n v="7"/>
    <x v="0"/>
    <x v="0"/>
  </r>
  <r>
    <n v="2185"/>
    <n v="103874720"/>
    <s v="Recovery"/>
    <n v="200"/>
    <s v="AHY"/>
    <s v="M"/>
    <n v="12"/>
    <n v="2008"/>
    <n v="2008"/>
    <n v="4"/>
    <x v="0"/>
    <s v="4B"/>
    <x v="6"/>
    <n v="1"/>
    <n v="7"/>
    <x v="0"/>
    <x v="0"/>
  </r>
  <r>
    <n v="2186"/>
    <n v="103874721"/>
    <s v="Recovery"/>
    <n v="200"/>
    <s v="AHY"/>
    <s v="M"/>
    <n v="9"/>
    <n v="2008"/>
    <n v="2008"/>
    <n v="4"/>
    <x v="0"/>
    <s v="4B"/>
    <x v="6"/>
    <n v="1"/>
    <n v="7"/>
    <x v="0"/>
    <x v="0"/>
  </r>
  <r>
    <n v="2188"/>
    <n v="103874723"/>
    <s v="Recovery"/>
    <n v="200"/>
    <s v="AHY"/>
    <s v="M"/>
    <n v="9"/>
    <n v="2008"/>
    <n v="2008"/>
    <n v="4"/>
    <x v="0"/>
    <s v="4B"/>
    <x v="6"/>
    <n v="1"/>
    <n v="7"/>
    <x v="0"/>
    <x v="0"/>
  </r>
  <r>
    <n v="2189"/>
    <n v="103874724"/>
    <s v="Recovery"/>
    <n v="200"/>
    <s v="AHY"/>
    <s v="M"/>
    <n v="9"/>
    <n v="2008"/>
    <n v="2008"/>
    <n v="4"/>
    <x v="0"/>
    <s v="4B"/>
    <x v="6"/>
    <n v="1"/>
    <n v="7"/>
    <x v="0"/>
    <x v="0"/>
  </r>
  <r>
    <n v="2193"/>
    <n v="103874728"/>
    <s v="Recovery"/>
    <n v="200"/>
    <s v="AHY"/>
    <s v="F"/>
    <n v="9"/>
    <n v="2008"/>
    <n v="2008"/>
    <n v="4"/>
    <x v="0"/>
    <s v="4B"/>
    <x v="6"/>
    <n v="1"/>
    <n v="7"/>
    <x v="0"/>
    <x v="0"/>
  </r>
  <r>
    <n v="2197"/>
    <n v="103874732"/>
    <s v="Recovery"/>
    <n v="200"/>
    <s v="AHY"/>
    <s v="M"/>
    <n v="1"/>
    <n v="2009"/>
    <n v="2008"/>
    <n v="4"/>
    <x v="0"/>
    <s v="4B"/>
    <x v="6"/>
    <n v="1"/>
    <n v="7"/>
    <x v="0"/>
    <x v="0"/>
  </r>
  <r>
    <n v="2198"/>
    <n v="103874733"/>
    <s v="Recovery"/>
    <n v="200"/>
    <s v="HY"/>
    <s v="M"/>
    <n v="12"/>
    <n v="2007"/>
    <n v="2007"/>
    <n v="3"/>
    <x v="0"/>
    <s v="3B"/>
    <x v="1"/>
    <n v="1"/>
    <n v="7"/>
    <x v="0"/>
    <x v="0"/>
  </r>
  <r>
    <n v="2200"/>
    <n v="103874735"/>
    <s v="Recovery"/>
    <n v="200"/>
    <s v="HY"/>
    <s v="F"/>
    <n v="9"/>
    <n v="2007"/>
    <n v="2007"/>
    <n v="3"/>
    <x v="0"/>
    <s v="3B"/>
    <x v="1"/>
    <n v="1"/>
    <n v="7"/>
    <x v="0"/>
    <x v="0"/>
  </r>
  <r>
    <n v="2205"/>
    <n v="103874740"/>
    <s v="Recovery"/>
    <n v="200"/>
    <s v="AHY"/>
    <s v="F"/>
    <n v="9"/>
    <n v="2007"/>
    <n v="2007"/>
    <n v="3"/>
    <x v="0"/>
    <s v="3B"/>
    <x v="1"/>
    <n v="1"/>
    <n v="7"/>
    <x v="0"/>
    <x v="0"/>
  </r>
  <r>
    <n v="2206"/>
    <n v="103874741"/>
    <s v="Recovery"/>
    <n v="200"/>
    <s v="AHY"/>
    <s v="F"/>
    <n v="1"/>
    <n v="2009"/>
    <n v="2008"/>
    <n v="4"/>
    <x v="0"/>
    <s v="4B"/>
    <x v="6"/>
    <n v="1"/>
    <n v="7"/>
    <x v="0"/>
    <x v="0"/>
  </r>
  <r>
    <n v="2207"/>
    <n v="103874742"/>
    <s v="Recovery"/>
    <n v="200"/>
    <s v="AHY"/>
    <s v="M"/>
    <n v="1"/>
    <n v="2015"/>
    <n v="2014"/>
    <n v="10"/>
    <x v="0"/>
    <s v="10B"/>
    <x v="7"/>
    <n v="1"/>
    <n v="7"/>
    <x v="0"/>
    <x v="0"/>
  </r>
  <r>
    <n v="2208"/>
    <n v="103874743"/>
    <s v="Recovery"/>
    <n v="200"/>
    <s v="AHY"/>
    <s v="F"/>
    <n v="1"/>
    <n v="2009"/>
    <n v="2008"/>
    <n v="4"/>
    <x v="0"/>
    <s v="4B"/>
    <x v="6"/>
    <n v="1"/>
    <n v="7"/>
    <x v="0"/>
    <x v="0"/>
  </r>
  <r>
    <n v="2209"/>
    <n v="103874744"/>
    <s v="Recovery"/>
    <n v="200"/>
    <s v="AHY"/>
    <s v="F"/>
    <n v="12"/>
    <n v="2010"/>
    <n v="2010"/>
    <n v="6"/>
    <x v="0"/>
    <s v="6B"/>
    <x v="2"/>
    <n v="1"/>
    <n v="7"/>
    <x v="0"/>
    <x v="0"/>
  </r>
  <r>
    <n v="2210"/>
    <n v="103874745"/>
    <s v="Recovery"/>
    <n v="200"/>
    <s v="AHY"/>
    <s v="F"/>
    <n v="12"/>
    <n v="2009"/>
    <n v="2009"/>
    <n v="5"/>
    <x v="0"/>
    <s v="5B"/>
    <x v="8"/>
    <n v="1"/>
    <n v="7"/>
    <x v="0"/>
    <x v="0"/>
  </r>
  <r>
    <n v="2212"/>
    <n v="103874747"/>
    <s v="Recovery"/>
    <n v="200"/>
    <s v="AHY"/>
    <s v="M"/>
    <n v="9"/>
    <n v="2007"/>
    <n v="2007"/>
    <n v="3"/>
    <x v="0"/>
    <s v="3B"/>
    <x v="1"/>
    <n v="1"/>
    <n v="7"/>
    <x v="0"/>
    <x v="0"/>
  </r>
  <r>
    <n v="2213"/>
    <n v="103874748"/>
    <s v="Recovery"/>
    <n v="200"/>
    <s v="AHY"/>
    <s v="F"/>
    <n v="9"/>
    <n v="2012"/>
    <n v="2012"/>
    <n v="8"/>
    <x v="0"/>
    <s v="8B"/>
    <x v="3"/>
    <n v="1"/>
    <n v="7"/>
    <x v="0"/>
    <x v="0"/>
  </r>
  <r>
    <n v="2218"/>
    <n v="103874753"/>
    <s v="Recovery"/>
    <n v="200"/>
    <s v="AHY"/>
    <s v="F"/>
    <n v="1"/>
    <n v="2012"/>
    <n v="2011"/>
    <n v="7"/>
    <x v="0"/>
    <s v="7B"/>
    <x v="9"/>
    <n v="1"/>
    <n v="7"/>
    <x v="0"/>
    <x v="0"/>
  </r>
  <r>
    <n v="2221"/>
    <n v="103874756"/>
    <s v="Recovery"/>
    <n v="200"/>
    <s v="AHY"/>
    <s v="M"/>
    <n v="9"/>
    <n v="2007"/>
    <n v="2007"/>
    <n v="3"/>
    <x v="0"/>
    <s v="3B"/>
    <x v="1"/>
    <n v="1"/>
    <n v="7"/>
    <x v="0"/>
    <x v="0"/>
  </r>
  <r>
    <n v="2223"/>
    <n v="103874758"/>
    <s v="Recovery"/>
    <n v="200"/>
    <s v="AHY"/>
    <s v="M"/>
    <n v="1"/>
    <n v="2009"/>
    <n v="2008"/>
    <n v="4"/>
    <x v="0"/>
    <s v="4B"/>
    <x v="6"/>
    <n v="1"/>
    <n v="7"/>
    <x v="0"/>
    <x v="0"/>
  </r>
  <r>
    <n v="2224"/>
    <n v="103874759"/>
    <s v="Recovery"/>
    <n v="200"/>
    <s v="AHY"/>
    <s v="M"/>
    <n v="9"/>
    <n v="2008"/>
    <n v="2008"/>
    <n v="4"/>
    <x v="0"/>
    <s v="4B"/>
    <x v="6"/>
    <n v="1"/>
    <n v="7"/>
    <x v="0"/>
    <x v="0"/>
  </r>
  <r>
    <n v="2234"/>
    <n v="103874769"/>
    <s v="Recovery"/>
    <n v="200"/>
    <s v="AHY"/>
    <s v="F"/>
    <n v="1"/>
    <n v="2008"/>
    <n v="2007"/>
    <n v="3"/>
    <x v="0"/>
    <s v="3B"/>
    <x v="1"/>
    <n v="1"/>
    <n v="7"/>
    <x v="0"/>
    <x v="0"/>
  </r>
  <r>
    <n v="2237"/>
    <n v="103874772"/>
    <s v="Recovery"/>
    <n v="200"/>
    <s v="AHY"/>
    <s v="F"/>
    <n v="1"/>
    <n v="2008"/>
    <n v="2007"/>
    <n v="3"/>
    <x v="0"/>
    <s v="3B"/>
    <x v="1"/>
    <n v="1"/>
    <n v="7"/>
    <x v="0"/>
    <x v="0"/>
  </r>
  <r>
    <n v="2238"/>
    <n v="103874773"/>
    <s v="Recovery"/>
    <n v="200"/>
    <s v="AHY"/>
    <s v="M"/>
    <n v="1"/>
    <n v="2012"/>
    <n v="2011"/>
    <n v="7"/>
    <x v="0"/>
    <s v="7B"/>
    <x v="9"/>
    <n v="1"/>
    <n v="7"/>
    <x v="0"/>
    <x v="0"/>
  </r>
  <r>
    <n v="2239"/>
    <n v="103874774"/>
    <s v="Recovery"/>
    <n v="200"/>
    <s v="AHY"/>
    <s v="F"/>
    <n v="1"/>
    <n v="2012"/>
    <n v="2011"/>
    <n v="7"/>
    <x v="0"/>
    <s v="7B"/>
    <x v="9"/>
    <n v="1"/>
    <n v="7"/>
    <x v="0"/>
    <x v="0"/>
  </r>
  <r>
    <n v="2241"/>
    <n v="103874776"/>
    <s v="Recovery"/>
    <n v="200"/>
    <s v="AHY"/>
    <s v="M"/>
    <n v="12"/>
    <n v="2010"/>
    <n v="2010"/>
    <n v="6"/>
    <x v="0"/>
    <s v="6B"/>
    <x v="2"/>
    <n v="1"/>
    <n v="7"/>
    <x v="0"/>
    <x v="0"/>
  </r>
  <r>
    <n v="2242"/>
    <n v="103874777"/>
    <s v="Recovery"/>
    <n v="200"/>
    <s v="AHY"/>
    <s v="M"/>
    <n v="12"/>
    <n v="2010"/>
    <n v="2010"/>
    <n v="6"/>
    <x v="0"/>
    <s v="6B"/>
    <x v="2"/>
    <n v="1"/>
    <n v="7"/>
    <x v="0"/>
    <x v="0"/>
  </r>
  <r>
    <n v="2245"/>
    <n v="103874780"/>
    <s v="Recovery"/>
    <n v="200"/>
    <s v="AHY"/>
    <s v="M"/>
    <n v="9"/>
    <n v="2007"/>
    <n v="2007"/>
    <n v="3"/>
    <x v="0"/>
    <s v="3B"/>
    <x v="1"/>
    <n v="1"/>
    <n v="7"/>
    <x v="0"/>
    <x v="0"/>
  </r>
  <r>
    <n v="2246"/>
    <n v="103874781"/>
    <s v="Recovery"/>
    <n v="200"/>
    <s v="AHY"/>
    <s v="M"/>
    <n v="9"/>
    <n v="2009"/>
    <n v="2009"/>
    <n v="5"/>
    <x v="0"/>
    <s v="5B"/>
    <x v="8"/>
    <n v="1"/>
    <n v="7"/>
    <x v="0"/>
    <x v="0"/>
  </r>
  <r>
    <n v="2248"/>
    <n v="103874783"/>
    <s v="Recovery"/>
    <n v="200"/>
    <s v="AHY"/>
    <s v="M"/>
    <n v="12"/>
    <n v="2010"/>
    <n v="2010"/>
    <n v="6"/>
    <x v="0"/>
    <s v="6B"/>
    <x v="2"/>
    <n v="1"/>
    <n v="7"/>
    <x v="0"/>
    <x v="0"/>
  </r>
  <r>
    <n v="2249"/>
    <n v="103874784"/>
    <s v="Recovery"/>
    <n v="200"/>
    <s v="AHY"/>
    <s v="M"/>
    <n v="9"/>
    <n v="2014"/>
    <n v="2014"/>
    <n v="10"/>
    <x v="0"/>
    <s v="10B"/>
    <x v="7"/>
    <n v="1"/>
    <n v="7"/>
    <x v="0"/>
    <x v="0"/>
  </r>
  <r>
    <n v="2250"/>
    <n v="103874785"/>
    <s v="Recovery"/>
    <n v="200"/>
    <s v="AHY"/>
    <s v="M"/>
    <n v="1"/>
    <n v="2016"/>
    <n v="2015"/>
    <n v="11"/>
    <x v="0"/>
    <s v="11B"/>
    <x v="14"/>
    <n v="1"/>
    <n v="7"/>
    <x v="0"/>
    <x v="0"/>
  </r>
  <r>
    <n v="2251"/>
    <n v="103874786"/>
    <s v="Recovery"/>
    <n v="200"/>
    <s v="AHY"/>
    <s v="F"/>
    <n v="12"/>
    <n v="2009"/>
    <n v="2009"/>
    <n v="5"/>
    <x v="0"/>
    <s v="5B"/>
    <x v="8"/>
    <n v="1"/>
    <n v="7"/>
    <x v="0"/>
    <x v="0"/>
  </r>
  <r>
    <n v="2252"/>
    <n v="103874787"/>
    <s v="Recovery"/>
    <n v="200"/>
    <s v="AHY"/>
    <s v="M"/>
    <n v="1"/>
    <n v="2015"/>
    <n v="2014"/>
    <n v="10"/>
    <x v="0"/>
    <s v="10B"/>
    <x v="7"/>
    <n v="1"/>
    <n v="7"/>
    <x v="0"/>
    <x v="0"/>
  </r>
  <r>
    <n v="2254"/>
    <n v="103874789"/>
    <s v="Recovery"/>
    <n v="200"/>
    <s v="AHY"/>
    <s v="F"/>
    <n v="9"/>
    <n v="2009"/>
    <n v="2009"/>
    <n v="5"/>
    <x v="0"/>
    <s v="5B"/>
    <x v="8"/>
    <n v="1"/>
    <n v="7"/>
    <x v="0"/>
    <x v="0"/>
  </r>
  <r>
    <n v="2256"/>
    <n v="103874791"/>
    <s v="Recovery"/>
    <n v="200"/>
    <s v="HY"/>
    <s v="M"/>
    <n v="1"/>
    <n v="2008"/>
    <n v="2007"/>
    <n v="3"/>
    <x v="0"/>
    <s v="3B"/>
    <x v="1"/>
    <n v="1"/>
    <n v="7"/>
    <x v="0"/>
    <x v="0"/>
  </r>
  <r>
    <n v="2265"/>
    <n v="103874800"/>
    <s v="Recovery"/>
    <n v="200"/>
    <s v="AHY"/>
    <s v="F"/>
    <n v="1"/>
    <n v="2009"/>
    <n v="2008"/>
    <n v="4"/>
    <x v="0"/>
    <s v="4B"/>
    <x v="6"/>
    <n v="1"/>
    <n v="7"/>
    <x v="0"/>
    <x v="0"/>
  </r>
  <r>
    <n v="2269"/>
    <n v="103874804"/>
    <s v="Recovery"/>
    <n v="200"/>
    <s v="AHY"/>
    <s v="F"/>
    <n v="12"/>
    <n v="2008"/>
    <n v="2008"/>
    <n v="4"/>
    <x v="0"/>
    <s v="4B"/>
    <x v="6"/>
    <n v="1"/>
    <n v="7"/>
    <x v="0"/>
    <x v="0"/>
  </r>
  <r>
    <n v="2270"/>
    <n v="103874805"/>
    <s v="Recovery"/>
    <n v="200"/>
    <s v="AHY"/>
    <s v="M"/>
    <n v="1"/>
    <n v="2011"/>
    <n v="2010"/>
    <n v="6"/>
    <x v="0"/>
    <s v="6B"/>
    <x v="2"/>
    <n v="1"/>
    <n v="7"/>
    <x v="0"/>
    <x v="0"/>
  </r>
  <r>
    <n v="2271"/>
    <n v="103874806"/>
    <s v="Recovery"/>
    <n v="200"/>
    <s v="AHY"/>
    <s v="M"/>
    <n v="1"/>
    <n v="2009"/>
    <n v="2008"/>
    <n v="4"/>
    <x v="0"/>
    <s v="4B"/>
    <x v="6"/>
    <n v="1"/>
    <n v="7"/>
    <x v="0"/>
    <x v="0"/>
  </r>
  <r>
    <n v="2274"/>
    <n v="103874809"/>
    <s v="Recovery"/>
    <n v="200"/>
    <s v="AHY"/>
    <s v="F"/>
    <n v="9"/>
    <n v="2013"/>
    <n v="2013"/>
    <n v="9"/>
    <x v="0"/>
    <s v="9B"/>
    <x v="4"/>
    <n v="1"/>
    <n v="7"/>
    <x v="0"/>
    <x v="0"/>
  </r>
  <r>
    <n v="2278"/>
    <n v="103874813"/>
    <s v="Recovery"/>
    <n v="200"/>
    <s v="AHY"/>
    <s v="M"/>
    <n v="1"/>
    <n v="2010"/>
    <n v="2009"/>
    <n v="5"/>
    <x v="0"/>
    <s v="5B"/>
    <x v="8"/>
    <n v="1"/>
    <n v="7"/>
    <x v="0"/>
    <x v="0"/>
  </r>
  <r>
    <n v="2279"/>
    <n v="103874814"/>
    <s v="Recovery"/>
    <n v="200"/>
    <s v="AHY"/>
    <s v="F"/>
    <n v="12"/>
    <n v="2009"/>
    <n v="2009"/>
    <n v="5"/>
    <x v="0"/>
    <s v="5B"/>
    <x v="8"/>
    <n v="1"/>
    <n v="7"/>
    <x v="0"/>
    <x v="0"/>
  </r>
  <r>
    <n v="2283"/>
    <n v="103874818"/>
    <s v="Recovery"/>
    <n v="200"/>
    <s v="HY"/>
    <s v="F"/>
    <n v="9"/>
    <n v="2007"/>
    <n v="2007"/>
    <n v="3"/>
    <x v="0"/>
    <s v="3B"/>
    <x v="1"/>
    <n v="1"/>
    <n v="7"/>
    <x v="0"/>
    <x v="0"/>
  </r>
  <r>
    <n v="2284"/>
    <n v="103874819"/>
    <s v="Recovery"/>
    <n v="200"/>
    <s v="AHY"/>
    <s v="M"/>
    <n v="12"/>
    <n v="2008"/>
    <n v="2008"/>
    <n v="4"/>
    <x v="0"/>
    <s v="4B"/>
    <x v="6"/>
    <n v="1"/>
    <n v="7"/>
    <x v="0"/>
    <x v="0"/>
  </r>
  <r>
    <n v="2286"/>
    <n v="103874821"/>
    <s v="Recovery"/>
    <n v="200"/>
    <s v="AHY"/>
    <s v="F"/>
    <n v="9"/>
    <n v="2008"/>
    <n v="2008"/>
    <n v="4"/>
    <x v="0"/>
    <s v="4B"/>
    <x v="6"/>
    <n v="1"/>
    <n v="7"/>
    <x v="0"/>
    <x v="0"/>
  </r>
  <r>
    <n v="2292"/>
    <n v="103874827"/>
    <s v="Recovery"/>
    <n v="200"/>
    <s v="AHY"/>
    <s v="F"/>
    <n v="1"/>
    <n v="2008"/>
    <n v="2007"/>
    <n v="3"/>
    <x v="0"/>
    <s v="3B"/>
    <x v="1"/>
    <n v="1"/>
    <n v="7"/>
    <x v="0"/>
    <x v="0"/>
  </r>
  <r>
    <n v="2293"/>
    <n v="103874828"/>
    <s v="Recovery"/>
    <n v="200"/>
    <s v="AHY"/>
    <s v="M"/>
    <n v="12"/>
    <n v="2008"/>
    <n v="2008"/>
    <n v="4"/>
    <x v="0"/>
    <s v="4B"/>
    <x v="6"/>
    <n v="1"/>
    <n v="7"/>
    <x v="0"/>
    <x v="0"/>
  </r>
  <r>
    <n v="2297"/>
    <n v="103874832"/>
    <s v="Recovery"/>
    <n v="200"/>
    <s v="AHY"/>
    <s v="M"/>
    <n v="1"/>
    <n v="2009"/>
    <n v="2008"/>
    <n v="4"/>
    <x v="0"/>
    <s v="4B"/>
    <x v="6"/>
    <n v="1"/>
    <n v="7"/>
    <x v="0"/>
    <x v="0"/>
  </r>
  <r>
    <n v="2301"/>
    <n v="103874836"/>
    <s v="Recovery"/>
    <n v="200"/>
    <s v="HY"/>
    <s v="M"/>
    <n v="9"/>
    <n v="2007"/>
    <n v="2007"/>
    <n v="3"/>
    <x v="0"/>
    <s v="3B"/>
    <x v="1"/>
    <n v="1"/>
    <n v="7"/>
    <x v="0"/>
    <x v="0"/>
  </r>
  <r>
    <n v="2305"/>
    <n v="103874840"/>
    <s v="Recovery"/>
    <n v="200"/>
    <s v="AHY"/>
    <s v="M"/>
    <n v="9"/>
    <n v="2008"/>
    <n v="2008"/>
    <n v="4"/>
    <x v="0"/>
    <s v="4B"/>
    <x v="6"/>
    <n v="1"/>
    <n v="7"/>
    <x v="0"/>
    <x v="0"/>
  </r>
  <r>
    <n v="2317"/>
    <n v="103874852"/>
    <s v="Recovery"/>
    <n v="200"/>
    <s v="AHY"/>
    <s v="F"/>
    <n v="1"/>
    <n v="2011"/>
    <n v="2010"/>
    <n v="6"/>
    <x v="0"/>
    <s v="6B"/>
    <x v="2"/>
    <n v="1"/>
    <n v="7"/>
    <x v="0"/>
    <x v="0"/>
  </r>
  <r>
    <n v="2318"/>
    <n v="103874853"/>
    <s v="Recovery"/>
    <n v="200"/>
    <s v="AHY"/>
    <s v="F"/>
    <n v="9"/>
    <n v="2008"/>
    <n v="2008"/>
    <n v="4"/>
    <x v="0"/>
    <s v="4B"/>
    <x v="6"/>
    <n v="1"/>
    <n v="7"/>
    <x v="0"/>
    <x v="0"/>
  </r>
  <r>
    <n v="2320"/>
    <n v="103874855"/>
    <s v="Recovery"/>
    <n v="200"/>
    <s v="AHY"/>
    <s v="F"/>
    <n v="1"/>
    <n v="2010"/>
    <n v="2009"/>
    <n v="5"/>
    <x v="0"/>
    <s v="5B"/>
    <x v="8"/>
    <n v="1"/>
    <n v="7"/>
    <x v="0"/>
    <x v="0"/>
  </r>
  <r>
    <n v="2322"/>
    <n v="103874857"/>
    <s v="Recovery"/>
    <n v="200"/>
    <s v="AHY"/>
    <s v="M"/>
    <n v="12"/>
    <n v="2008"/>
    <n v="2008"/>
    <n v="4"/>
    <x v="0"/>
    <s v="4B"/>
    <x v="6"/>
    <n v="1"/>
    <n v="7"/>
    <x v="0"/>
    <x v="0"/>
  </r>
  <r>
    <n v="2330"/>
    <n v="103874865"/>
    <s v="Recovery"/>
    <n v="200"/>
    <s v="AHY"/>
    <s v="M"/>
    <n v="1"/>
    <n v="2008"/>
    <n v="2007"/>
    <n v="3"/>
    <x v="0"/>
    <s v="3B"/>
    <x v="1"/>
    <n v="1"/>
    <n v="7"/>
    <x v="0"/>
    <x v="0"/>
  </r>
  <r>
    <n v="2331"/>
    <n v="103874866"/>
    <s v="Recovery"/>
    <n v="200"/>
    <s v="AHY"/>
    <s v="F"/>
    <n v="12"/>
    <n v="2009"/>
    <n v="2009"/>
    <n v="5"/>
    <x v="0"/>
    <s v="5B"/>
    <x v="8"/>
    <n v="1"/>
    <n v="7"/>
    <x v="0"/>
    <x v="0"/>
  </r>
  <r>
    <n v="2334"/>
    <n v="103874869"/>
    <s v="Recovery"/>
    <n v="200"/>
    <s v="AHY"/>
    <s v="M"/>
    <n v="1"/>
    <n v="2009"/>
    <n v="2008"/>
    <n v="4"/>
    <x v="0"/>
    <s v="4B"/>
    <x v="6"/>
    <n v="1"/>
    <n v="7"/>
    <x v="0"/>
    <x v="0"/>
  </r>
  <r>
    <n v="2335"/>
    <n v="103874870"/>
    <s v="Recovery"/>
    <n v="200"/>
    <s v="AHY"/>
    <s v="F"/>
    <n v="1"/>
    <n v="2016"/>
    <n v="2015"/>
    <n v="11"/>
    <x v="0"/>
    <s v="11B"/>
    <x v="14"/>
    <n v="1"/>
    <n v="7"/>
    <x v="0"/>
    <x v="0"/>
  </r>
  <r>
    <n v="2336"/>
    <n v="103874871"/>
    <s v="Recovery"/>
    <n v="200"/>
    <s v="AHY"/>
    <s v="F"/>
    <n v="12"/>
    <n v="2009"/>
    <n v="2009"/>
    <n v="5"/>
    <x v="0"/>
    <s v="5B"/>
    <x v="8"/>
    <n v="1"/>
    <n v="7"/>
    <x v="0"/>
    <x v="0"/>
  </r>
  <r>
    <n v="2344"/>
    <n v="103874879"/>
    <s v="Recovery"/>
    <n v="200"/>
    <s v="AHY"/>
    <s v="F"/>
    <n v="1"/>
    <n v="2012"/>
    <n v="2011"/>
    <n v="7"/>
    <x v="0"/>
    <s v="7B"/>
    <x v="9"/>
    <n v="1"/>
    <n v="7"/>
    <x v="0"/>
    <x v="0"/>
  </r>
  <r>
    <n v="2346"/>
    <n v="103874881"/>
    <s v="Recovery"/>
    <n v="200"/>
    <s v="AHY"/>
    <s v="M"/>
    <n v="1"/>
    <n v="2009"/>
    <n v="2008"/>
    <n v="4"/>
    <x v="0"/>
    <s v="4B"/>
    <x v="6"/>
    <n v="1"/>
    <n v="7"/>
    <x v="0"/>
    <x v="0"/>
  </r>
  <r>
    <n v="2348"/>
    <n v="103874883"/>
    <s v="Recovery"/>
    <n v="200"/>
    <s v="AHY"/>
    <s v="F"/>
    <n v="1"/>
    <n v="2016"/>
    <n v="2015"/>
    <n v="11"/>
    <x v="0"/>
    <s v="11B"/>
    <x v="14"/>
    <n v="1"/>
    <n v="7"/>
    <x v="0"/>
    <x v="0"/>
  </r>
  <r>
    <n v="2349"/>
    <n v="103874884"/>
    <s v="Recovery"/>
    <n v="200"/>
    <s v="AHY"/>
    <s v="F"/>
    <n v="1"/>
    <n v="2011"/>
    <n v="2010"/>
    <n v="6"/>
    <x v="0"/>
    <s v="6B"/>
    <x v="2"/>
    <n v="1"/>
    <n v="7"/>
    <x v="0"/>
    <x v="0"/>
  </r>
  <r>
    <n v="2353"/>
    <n v="103874888"/>
    <s v="Recovery"/>
    <n v="200"/>
    <s v="AHY"/>
    <s v="M"/>
    <n v="1"/>
    <n v="2008"/>
    <n v="2007"/>
    <n v="3"/>
    <x v="0"/>
    <s v="3B"/>
    <x v="1"/>
    <n v="1"/>
    <n v="7"/>
    <x v="0"/>
    <x v="0"/>
  </r>
  <r>
    <n v="2355"/>
    <n v="103874890"/>
    <s v="Recovery"/>
    <n v="200"/>
    <s v="AHY"/>
    <s v="M"/>
    <n v="1"/>
    <n v="2009"/>
    <n v="2008"/>
    <n v="4"/>
    <x v="0"/>
    <s v="4B"/>
    <x v="6"/>
    <n v="1"/>
    <n v="7"/>
    <x v="0"/>
    <x v="0"/>
  </r>
  <r>
    <n v="2356"/>
    <n v="103874891"/>
    <s v="Recovery"/>
    <n v="200"/>
    <s v="AHY"/>
    <s v="M"/>
    <n v="9"/>
    <n v="2009"/>
    <n v="2009"/>
    <n v="5"/>
    <x v="0"/>
    <s v="5B"/>
    <x v="8"/>
    <n v="1"/>
    <n v="7"/>
    <x v="0"/>
    <x v="0"/>
  </r>
  <r>
    <n v="2358"/>
    <n v="103874893"/>
    <s v="Recovery"/>
    <n v="200"/>
    <s v="AHY"/>
    <s v="M"/>
    <n v="9"/>
    <n v="2007"/>
    <n v="2007"/>
    <n v="3"/>
    <x v="0"/>
    <s v="3B"/>
    <x v="1"/>
    <n v="1"/>
    <n v="7"/>
    <x v="0"/>
    <x v="0"/>
  </r>
  <r>
    <n v="2364"/>
    <n v="103874899"/>
    <s v="Recovery"/>
    <n v="200"/>
    <s v="AHY"/>
    <s v="M"/>
    <n v="1"/>
    <n v="2013"/>
    <n v="2012"/>
    <n v="8"/>
    <x v="0"/>
    <s v="8B"/>
    <x v="3"/>
    <n v="1"/>
    <n v="7"/>
    <x v="0"/>
    <x v="0"/>
  </r>
  <r>
    <n v="2365"/>
    <n v="103874900"/>
    <s v="Recovery"/>
    <n v="200"/>
    <s v="AHY"/>
    <s v="M"/>
    <n v="1"/>
    <n v="2015"/>
    <n v="2014"/>
    <n v="10"/>
    <x v="0"/>
    <s v="10B"/>
    <x v="7"/>
    <n v="1"/>
    <n v="7"/>
    <x v="0"/>
    <x v="0"/>
  </r>
  <r>
    <n v="2369"/>
    <n v="103874904"/>
    <s v="Recovery"/>
    <n v="200"/>
    <s v="AHY"/>
    <s v="M"/>
    <n v="9"/>
    <n v="2011"/>
    <n v="2011"/>
    <n v="7"/>
    <x v="0"/>
    <s v="7B"/>
    <x v="9"/>
    <n v="1"/>
    <n v="7"/>
    <x v="0"/>
    <x v="0"/>
  </r>
  <r>
    <n v="2374"/>
    <n v="103874909"/>
    <s v="Recovery"/>
    <n v="200"/>
    <s v="AHY"/>
    <s v="F"/>
    <n v="12"/>
    <n v="2009"/>
    <n v="2009"/>
    <n v="5"/>
    <x v="0"/>
    <s v="5B"/>
    <x v="8"/>
    <n v="1"/>
    <n v="7"/>
    <x v="0"/>
    <x v="0"/>
  </r>
  <r>
    <n v="2379"/>
    <n v="103874914"/>
    <s v="Recovery"/>
    <n v="200"/>
    <s v="AHY"/>
    <s v="F"/>
    <n v="1"/>
    <n v="2009"/>
    <n v="2008"/>
    <n v="4"/>
    <x v="0"/>
    <s v="4B"/>
    <x v="6"/>
    <n v="1"/>
    <n v="7"/>
    <x v="0"/>
    <x v="0"/>
  </r>
  <r>
    <n v="2381"/>
    <n v="103874916"/>
    <s v="Recovery"/>
    <n v="200"/>
    <s v="AHY"/>
    <s v="F"/>
    <n v="9"/>
    <n v="2013"/>
    <n v="2013"/>
    <n v="9"/>
    <x v="0"/>
    <s v="9B"/>
    <x v="4"/>
    <n v="1"/>
    <n v="7"/>
    <x v="0"/>
    <x v="0"/>
  </r>
  <r>
    <n v="2385"/>
    <n v="103874920"/>
    <s v="Recovery"/>
    <n v="200"/>
    <s v="AHY"/>
    <s v="M"/>
    <n v="1"/>
    <n v="2009"/>
    <n v="2008"/>
    <n v="4"/>
    <x v="0"/>
    <s v="4B"/>
    <x v="6"/>
    <n v="1"/>
    <n v="7"/>
    <x v="0"/>
    <x v="0"/>
  </r>
  <r>
    <n v="2399"/>
    <n v="103874934"/>
    <s v="Recovery"/>
    <n v="200"/>
    <s v="AHY"/>
    <s v="F"/>
    <n v="9"/>
    <n v="2010"/>
    <n v="2010"/>
    <n v="6"/>
    <x v="0"/>
    <s v="6B"/>
    <x v="2"/>
    <n v="1"/>
    <n v="7"/>
    <x v="0"/>
    <x v="0"/>
  </r>
  <r>
    <n v="2401"/>
    <n v="103874936"/>
    <s v="Recovery"/>
    <n v="200"/>
    <s v="AHY"/>
    <s v="M"/>
    <n v="9"/>
    <n v="2007"/>
    <n v="2007"/>
    <n v="3"/>
    <x v="0"/>
    <s v="3B"/>
    <x v="1"/>
    <n v="1"/>
    <n v="7"/>
    <x v="0"/>
    <x v="0"/>
  </r>
  <r>
    <n v="2402"/>
    <n v="103874937"/>
    <s v="Recovery"/>
    <n v="200"/>
    <s v="AHY"/>
    <s v="M"/>
    <n v="9"/>
    <n v="2007"/>
    <n v="2007"/>
    <n v="3"/>
    <x v="0"/>
    <s v="3B"/>
    <x v="1"/>
    <n v="1"/>
    <n v="7"/>
    <x v="0"/>
    <x v="0"/>
  </r>
  <r>
    <n v="2405"/>
    <n v="103874940"/>
    <s v="Recovery"/>
    <n v="200"/>
    <s v="AHY"/>
    <s v="M"/>
    <n v="9"/>
    <n v="2007"/>
    <n v="2007"/>
    <n v="3"/>
    <x v="0"/>
    <s v="3B"/>
    <x v="1"/>
    <n v="1"/>
    <n v="7"/>
    <x v="0"/>
    <x v="0"/>
  </r>
  <r>
    <n v="2406"/>
    <n v="103874941"/>
    <s v="Recovery"/>
    <n v="200"/>
    <s v="AHY"/>
    <s v="M"/>
    <n v="9"/>
    <n v="2010"/>
    <n v="2010"/>
    <n v="6"/>
    <x v="0"/>
    <s v="6B"/>
    <x v="2"/>
    <n v="1"/>
    <n v="7"/>
    <x v="0"/>
    <x v="0"/>
  </r>
  <r>
    <n v="2407"/>
    <n v="103874942"/>
    <s v="Recovery"/>
    <n v="200"/>
    <s v="AHY"/>
    <s v="F"/>
    <n v="9"/>
    <n v="2010"/>
    <n v="2010"/>
    <n v="6"/>
    <x v="0"/>
    <s v="6B"/>
    <x v="2"/>
    <n v="1"/>
    <n v="7"/>
    <x v="0"/>
    <x v="0"/>
  </r>
  <r>
    <n v="2419"/>
    <n v="103874954"/>
    <s v="Recovery"/>
    <n v="200"/>
    <s v="AHY"/>
    <s v="F"/>
    <n v="1"/>
    <n v="2009"/>
    <n v="2008"/>
    <n v="4"/>
    <x v="0"/>
    <s v="4B"/>
    <x v="6"/>
    <n v="1"/>
    <n v="7"/>
    <x v="0"/>
    <x v="0"/>
  </r>
  <r>
    <n v="2420"/>
    <n v="103874955"/>
    <s v="Recovery"/>
    <n v="200"/>
    <s v="HY"/>
    <s v="F"/>
    <n v="9"/>
    <n v="2007"/>
    <n v="2007"/>
    <n v="3"/>
    <x v="0"/>
    <s v="3B"/>
    <x v="1"/>
    <n v="1"/>
    <n v="7"/>
    <x v="0"/>
    <x v="0"/>
  </r>
  <r>
    <n v="2422"/>
    <n v="103874957"/>
    <s v="Recovery"/>
    <n v="200"/>
    <s v="AHY"/>
    <s v="M"/>
    <n v="2"/>
    <n v="2008"/>
    <n v="2007"/>
    <n v="3"/>
    <x v="0"/>
    <s v="3B"/>
    <x v="1"/>
    <n v="1"/>
    <n v="7"/>
    <x v="0"/>
    <x v="0"/>
  </r>
  <r>
    <n v="2426"/>
    <n v="103874961"/>
    <s v="Recovery"/>
    <n v="200"/>
    <s v="AHY"/>
    <s v="F"/>
    <n v="1"/>
    <n v="2009"/>
    <n v="2008"/>
    <n v="4"/>
    <x v="0"/>
    <s v="4B"/>
    <x v="6"/>
    <n v="1"/>
    <n v="7"/>
    <x v="0"/>
    <x v="0"/>
  </r>
  <r>
    <n v="2432"/>
    <n v="103874967"/>
    <s v="Recovery"/>
    <n v="200"/>
    <s v="AHY"/>
    <s v="F"/>
    <n v="1"/>
    <n v="2009"/>
    <n v="2008"/>
    <n v="4"/>
    <x v="0"/>
    <s v="4B"/>
    <x v="6"/>
    <n v="1"/>
    <n v="7"/>
    <x v="0"/>
    <x v="0"/>
  </r>
  <r>
    <n v="2434"/>
    <n v="103874969"/>
    <s v="Recovery"/>
    <n v="200"/>
    <s v="AHY"/>
    <s v="M"/>
    <n v="9"/>
    <n v="2009"/>
    <n v="2009"/>
    <n v="5"/>
    <x v="0"/>
    <s v="5B"/>
    <x v="8"/>
    <n v="1"/>
    <n v="7"/>
    <x v="0"/>
    <x v="0"/>
  </r>
  <r>
    <n v="2436"/>
    <n v="103874971"/>
    <s v="Recovery"/>
    <n v="200"/>
    <s v="AHY"/>
    <s v="M"/>
    <n v="9"/>
    <n v="2008"/>
    <n v="2008"/>
    <n v="4"/>
    <x v="0"/>
    <s v="4B"/>
    <x v="6"/>
    <n v="1"/>
    <n v="7"/>
    <x v="0"/>
    <x v="0"/>
  </r>
  <r>
    <n v="2437"/>
    <n v="103874972"/>
    <s v="Recovery"/>
    <n v="200"/>
    <s v="AHY"/>
    <s v="M"/>
    <n v="9"/>
    <n v="2010"/>
    <n v="2010"/>
    <n v="6"/>
    <x v="0"/>
    <s v="6B"/>
    <x v="2"/>
    <n v="1"/>
    <n v="7"/>
    <x v="0"/>
    <x v="0"/>
  </r>
  <r>
    <n v="2438"/>
    <n v="103874973"/>
    <s v="Recovery"/>
    <n v="200"/>
    <s v="AHY"/>
    <s v="M"/>
    <n v="12"/>
    <n v="2015"/>
    <n v="2015"/>
    <n v="11"/>
    <x v="0"/>
    <s v="11B"/>
    <x v="14"/>
    <n v="1"/>
    <n v="7"/>
    <x v="0"/>
    <x v="0"/>
  </r>
  <r>
    <n v="2440"/>
    <n v="103874975"/>
    <s v="Recovery"/>
    <n v="200"/>
    <s v="HY"/>
    <s v="F"/>
    <n v="1"/>
    <n v="2008"/>
    <n v="2007"/>
    <n v="3"/>
    <x v="0"/>
    <s v="3B"/>
    <x v="1"/>
    <n v="1"/>
    <n v="7"/>
    <x v="0"/>
    <x v="0"/>
  </r>
  <r>
    <n v="2441"/>
    <n v="103874976"/>
    <s v="Recovery"/>
    <n v="200"/>
    <s v="AHY"/>
    <s v="F"/>
    <n v="9"/>
    <n v="2010"/>
    <n v="2010"/>
    <n v="6"/>
    <x v="0"/>
    <s v="6B"/>
    <x v="2"/>
    <n v="1"/>
    <n v="7"/>
    <x v="0"/>
    <x v="0"/>
  </r>
  <r>
    <n v="2443"/>
    <n v="103874978"/>
    <s v="Recovery"/>
    <n v="200"/>
    <s v="AHY"/>
    <s v="F"/>
    <n v="1"/>
    <n v="2008"/>
    <n v="2007"/>
    <n v="3"/>
    <x v="0"/>
    <s v="3B"/>
    <x v="1"/>
    <n v="1"/>
    <n v="7"/>
    <x v="0"/>
    <x v="0"/>
  </r>
  <r>
    <n v="2445"/>
    <n v="103874980"/>
    <s v="Recovery"/>
    <n v="200"/>
    <s v="AHY"/>
    <s v="F"/>
    <n v="9"/>
    <n v="2010"/>
    <n v="2010"/>
    <n v="6"/>
    <x v="0"/>
    <s v="6B"/>
    <x v="2"/>
    <n v="1"/>
    <n v="7"/>
    <x v="0"/>
    <x v="0"/>
  </r>
  <r>
    <n v="2447"/>
    <n v="103874982"/>
    <s v="Recovery"/>
    <n v="200"/>
    <s v="AHY"/>
    <s v="F"/>
    <n v="9"/>
    <n v="2007"/>
    <n v="2007"/>
    <n v="3"/>
    <x v="0"/>
    <s v="3B"/>
    <x v="1"/>
    <n v="1"/>
    <n v="7"/>
    <x v="0"/>
    <x v="0"/>
  </r>
  <r>
    <n v="2448"/>
    <n v="103874983"/>
    <s v="Recovery"/>
    <n v="200"/>
    <s v="HY"/>
    <s v="M"/>
    <n v="2"/>
    <n v="2008"/>
    <n v="2007"/>
    <n v="3"/>
    <x v="0"/>
    <s v="3B"/>
    <x v="1"/>
    <n v="1"/>
    <n v="7"/>
    <x v="0"/>
    <x v="0"/>
  </r>
  <r>
    <n v="2451"/>
    <n v="103874986"/>
    <s v="Recovery"/>
    <n v="200"/>
    <s v="AHY"/>
    <s v="M"/>
    <n v="12"/>
    <n v="2007"/>
    <n v="2007"/>
    <n v="3"/>
    <x v="0"/>
    <s v="3B"/>
    <x v="1"/>
    <n v="1"/>
    <n v="7"/>
    <x v="0"/>
    <x v="0"/>
  </r>
  <r>
    <n v="2465"/>
    <n v="103875000"/>
    <s v="Recovery"/>
    <n v="200"/>
    <s v="AHY"/>
    <s v="F"/>
    <n v="1"/>
    <n v="2008"/>
    <n v="2007"/>
    <n v="3"/>
    <x v="0"/>
    <s v="3B"/>
    <x v="1"/>
    <n v="1"/>
    <n v="7"/>
    <x v="0"/>
    <x v="0"/>
  </r>
  <r>
    <n v="2470"/>
    <n v="103881005"/>
    <s v="Recovery"/>
    <n v="200"/>
    <s v="AHY"/>
    <s v="F"/>
    <n v="1"/>
    <n v="2009"/>
    <n v="2008"/>
    <n v="4"/>
    <x v="0"/>
    <s v="4B"/>
    <x v="6"/>
    <n v="1"/>
    <n v="7"/>
    <x v="0"/>
    <x v="0"/>
  </r>
  <r>
    <n v="2473"/>
    <n v="103881008"/>
    <s v="Recovery"/>
    <n v="200"/>
    <s v="AHY"/>
    <s v="M"/>
    <n v="9"/>
    <n v="2007"/>
    <n v="2007"/>
    <n v="3"/>
    <x v="0"/>
    <s v="3B"/>
    <x v="1"/>
    <n v="1"/>
    <n v="7"/>
    <x v="0"/>
    <x v="0"/>
  </r>
  <r>
    <n v="2474"/>
    <n v="103881009"/>
    <s v="Recovery"/>
    <n v="200"/>
    <s v="AHY"/>
    <s v="F"/>
    <n v="9"/>
    <n v="2008"/>
    <n v="2008"/>
    <n v="4"/>
    <x v="0"/>
    <s v="4B"/>
    <x v="6"/>
    <n v="1"/>
    <n v="7"/>
    <x v="0"/>
    <x v="0"/>
  </r>
  <r>
    <n v="2475"/>
    <n v="103881010"/>
    <s v="Recovery"/>
    <n v="200"/>
    <s v="AHY"/>
    <s v="F"/>
    <n v="12"/>
    <n v="2011"/>
    <n v="2011"/>
    <n v="7"/>
    <x v="0"/>
    <s v="7B"/>
    <x v="9"/>
    <n v="1"/>
    <n v="7"/>
    <x v="0"/>
    <x v="0"/>
  </r>
  <r>
    <n v="2481"/>
    <n v="103881016"/>
    <s v="Recovery"/>
    <n v="200"/>
    <s v="AHY"/>
    <s v="F"/>
    <n v="12"/>
    <n v="2011"/>
    <n v="2011"/>
    <n v="7"/>
    <x v="0"/>
    <s v="7B"/>
    <x v="9"/>
    <n v="1"/>
    <n v="7"/>
    <x v="0"/>
    <x v="0"/>
  </r>
  <r>
    <n v="2482"/>
    <n v="103881017"/>
    <s v="Recovery"/>
    <n v="200"/>
    <s v="AHY"/>
    <s v="M"/>
    <n v="12"/>
    <n v="2012"/>
    <n v="2012"/>
    <n v="8"/>
    <x v="0"/>
    <s v="8B"/>
    <x v="3"/>
    <n v="1"/>
    <n v="7"/>
    <x v="0"/>
    <x v="0"/>
  </r>
  <r>
    <n v="2486"/>
    <n v="103881021"/>
    <s v="Recovery"/>
    <n v="200"/>
    <s v="AHY"/>
    <s v="M"/>
    <n v="1"/>
    <n v="2016"/>
    <n v="2015"/>
    <n v="11"/>
    <x v="0"/>
    <s v="11B"/>
    <x v="14"/>
    <n v="1"/>
    <n v="7"/>
    <x v="0"/>
    <x v="0"/>
  </r>
  <r>
    <n v="2487"/>
    <n v="103881022"/>
    <s v="Recovery"/>
    <n v="200"/>
    <s v="AHY"/>
    <s v="M"/>
    <n v="9"/>
    <n v="2008"/>
    <n v="2008"/>
    <n v="4"/>
    <x v="0"/>
    <s v="4B"/>
    <x v="6"/>
    <n v="1"/>
    <n v="7"/>
    <x v="0"/>
    <x v="0"/>
  </r>
  <r>
    <n v="2489"/>
    <n v="103881024"/>
    <s v="Recovery"/>
    <n v="200"/>
    <s v="AHY"/>
    <s v="F"/>
    <n v="1"/>
    <n v="2009"/>
    <n v="2008"/>
    <n v="4"/>
    <x v="0"/>
    <s v="4B"/>
    <x v="6"/>
    <n v="1"/>
    <n v="7"/>
    <x v="0"/>
    <x v="0"/>
  </r>
  <r>
    <n v="2493"/>
    <n v="103881028"/>
    <s v="Recovery"/>
    <n v="200"/>
    <s v="AHY"/>
    <s v="M"/>
    <n v="1"/>
    <n v="2011"/>
    <n v="2010"/>
    <n v="6"/>
    <x v="0"/>
    <s v="6B"/>
    <x v="2"/>
    <n v="1"/>
    <n v="7"/>
    <x v="0"/>
    <x v="0"/>
  </r>
  <r>
    <n v="2495"/>
    <n v="103881030"/>
    <s v="Recovery"/>
    <n v="200"/>
    <s v="HY"/>
    <s v="M"/>
    <n v="9"/>
    <n v="2007"/>
    <n v="2007"/>
    <n v="3"/>
    <x v="0"/>
    <s v="3B"/>
    <x v="1"/>
    <n v="1"/>
    <n v="7"/>
    <x v="0"/>
    <x v="0"/>
  </r>
  <r>
    <n v="2498"/>
    <n v="103881033"/>
    <s v="Recovery"/>
    <n v="200"/>
    <s v="AHY"/>
    <s v="M"/>
    <n v="12"/>
    <n v="2009"/>
    <n v="2009"/>
    <n v="5"/>
    <x v="0"/>
    <s v="5B"/>
    <x v="8"/>
    <n v="1"/>
    <n v="7"/>
    <x v="0"/>
    <x v="0"/>
  </r>
  <r>
    <n v="2499"/>
    <n v="103881034"/>
    <s v="Recovery"/>
    <n v="200"/>
    <s v="HY"/>
    <s v="F"/>
    <n v="9"/>
    <n v="2007"/>
    <n v="2007"/>
    <n v="3"/>
    <x v="0"/>
    <s v="3B"/>
    <x v="1"/>
    <n v="1"/>
    <n v="7"/>
    <x v="0"/>
    <x v="0"/>
  </r>
  <r>
    <n v="2500"/>
    <n v="103881035"/>
    <s v="Recovery"/>
    <n v="200"/>
    <s v="AHY"/>
    <s v="F"/>
    <n v="2"/>
    <n v="2012"/>
    <n v="2011"/>
    <n v="7"/>
    <x v="0"/>
    <s v="7B"/>
    <x v="9"/>
    <n v="1"/>
    <n v="7"/>
    <x v="0"/>
    <x v="0"/>
  </r>
  <r>
    <n v="2504"/>
    <n v="103881039"/>
    <s v="Recovery"/>
    <n v="200"/>
    <s v="HY"/>
    <s v="F"/>
    <n v="9"/>
    <n v="2007"/>
    <n v="2007"/>
    <n v="3"/>
    <x v="0"/>
    <s v="3B"/>
    <x v="1"/>
    <n v="1"/>
    <n v="7"/>
    <x v="0"/>
    <x v="0"/>
  </r>
  <r>
    <n v="2505"/>
    <n v="103881040"/>
    <s v="Recovery"/>
    <n v="200"/>
    <s v="HY"/>
    <s v="M"/>
    <n v="9"/>
    <n v="2007"/>
    <n v="2007"/>
    <n v="3"/>
    <x v="0"/>
    <s v="3B"/>
    <x v="1"/>
    <n v="1"/>
    <n v="7"/>
    <x v="0"/>
    <x v="0"/>
  </r>
  <r>
    <n v="2506"/>
    <n v="103881041"/>
    <s v="Recovery"/>
    <n v="200"/>
    <s v="AHY"/>
    <s v="F"/>
    <n v="1"/>
    <n v="2009"/>
    <n v="2008"/>
    <n v="4"/>
    <x v="0"/>
    <s v="4B"/>
    <x v="6"/>
    <n v="1"/>
    <n v="7"/>
    <x v="0"/>
    <x v="0"/>
  </r>
  <r>
    <n v="2509"/>
    <n v="103881044"/>
    <s v="Recovery"/>
    <n v="200"/>
    <s v="HY"/>
    <s v="F"/>
    <n v="9"/>
    <n v="2007"/>
    <n v="2007"/>
    <n v="3"/>
    <x v="0"/>
    <s v="3B"/>
    <x v="1"/>
    <n v="1"/>
    <n v="7"/>
    <x v="0"/>
    <x v="0"/>
  </r>
  <r>
    <n v="2510"/>
    <n v="103881045"/>
    <s v="Recovery"/>
    <n v="200"/>
    <s v="AHY"/>
    <s v="F"/>
    <n v="9"/>
    <n v="2009"/>
    <n v="2009"/>
    <n v="5"/>
    <x v="0"/>
    <s v="5B"/>
    <x v="8"/>
    <n v="1"/>
    <n v="7"/>
    <x v="0"/>
    <x v="0"/>
  </r>
  <r>
    <n v="2511"/>
    <n v="103881046"/>
    <s v="Recovery"/>
    <n v="200"/>
    <s v="HY"/>
    <s v="F"/>
    <n v="1"/>
    <n v="2008"/>
    <n v="2007"/>
    <n v="3"/>
    <x v="0"/>
    <s v="3B"/>
    <x v="1"/>
    <n v="1"/>
    <n v="7"/>
    <x v="0"/>
    <x v="0"/>
  </r>
  <r>
    <n v="2512"/>
    <n v="103881047"/>
    <s v="Recovery"/>
    <n v="200"/>
    <s v="AHY"/>
    <s v="F"/>
    <n v="11"/>
    <n v="2010"/>
    <n v="2010"/>
    <n v="6"/>
    <x v="0"/>
    <s v="6B"/>
    <x v="2"/>
    <n v="1"/>
    <n v="7"/>
    <x v="0"/>
    <x v="0"/>
  </r>
  <r>
    <n v="2513"/>
    <n v="103881048"/>
    <s v="Recovery"/>
    <n v="200"/>
    <s v="AHY"/>
    <s v="F"/>
    <n v="9"/>
    <n v="2009"/>
    <n v="2009"/>
    <n v="5"/>
    <x v="0"/>
    <s v="5B"/>
    <x v="8"/>
    <n v="1"/>
    <n v="7"/>
    <x v="0"/>
    <x v="0"/>
  </r>
  <r>
    <n v="2518"/>
    <n v="103881053"/>
    <s v="Recovery"/>
    <n v="200"/>
    <s v="AHY"/>
    <s v="M"/>
    <n v="1"/>
    <n v="2012"/>
    <n v="2011"/>
    <n v="7"/>
    <x v="0"/>
    <s v="7B"/>
    <x v="9"/>
    <n v="1"/>
    <n v="7"/>
    <x v="0"/>
    <x v="0"/>
  </r>
  <r>
    <n v="2521"/>
    <n v="103881056"/>
    <s v="Recovery"/>
    <n v="200"/>
    <s v="AHY"/>
    <s v="M"/>
    <n v="1"/>
    <n v="2009"/>
    <n v="2008"/>
    <n v="4"/>
    <x v="0"/>
    <s v="4B"/>
    <x v="6"/>
    <n v="1"/>
    <n v="7"/>
    <x v="0"/>
    <x v="0"/>
  </r>
  <r>
    <n v="2523"/>
    <n v="103881058"/>
    <s v="Recovery"/>
    <n v="200"/>
    <s v="AHY"/>
    <s v="M"/>
    <n v="9"/>
    <n v="2010"/>
    <n v="2010"/>
    <n v="6"/>
    <x v="0"/>
    <s v="6B"/>
    <x v="2"/>
    <n v="1"/>
    <n v="7"/>
    <x v="0"/>
    <x v="0"/>
  </r>
  <r>
    <n v="2526"/>
    <n v="103881061"/>
    <s v="Recovery"/>
    <n v="200"/>
    <s v="AHY"/>
    <s v="F"/>
    <n v="12"/>
    <n v="2007"/>
    <n v="2007"/>
    <n v="3"/>
    <x v="0"/>
    <s v="3B"/>
    <x v="1"/>
    <n v="1"/>
    <n v="7"/>
    <x v="0"/>
    <x v="0"/>
  </r>
  <r>
    <n v="2528"/>
    <n v="103881063"/>
    <s v="Recovery"/>
    <n v="200"/>
    <s v="AHY"/>
    <s v="M"/>
    <n v="12"/>
    <n v="2007"/>
    <n v="2007"/>
    <n v="3"/>
    <x v="0"/>
    <s v="3B"/>
    <x v="1"/>
    <n v="1"/>
    <n v="7"/>
    <x v="0"/>
    <x v="0"/>
  </r>
  <r>
    <n v="2533"/>
    <n v="103881068"/>
    <s v="Recovery"/>
    <n v="200"/>
    <s v="AHY"/>
    <s v="M"/>
    <n v="9"/>
    <n v="2010"/>
    <n v="2010"/>
    <n v="6"/>
    <x v="0"/>
    <s v="6B"/>
    <x v="2"/>
    <n v="1"/>
    <n v="7"/>
    <x v="0"/>
    <x v="0"/>
  </r>
  <r>
    <n v="2535"/>
    <n v="103881070"/>
    <s v="Recovery"/>
    <n v="200"/>
    <s v="AHY"/>
    <s v="M"/>
    <n v="9"/>
    <n v="2009"/>
    <n v="2009"/>
    <n v="5"/>
    <x v="0"/>
    <s v="5B"/>
    <x v="8"/>
    <n v="1"/>
    <n v="7"/>
    <x v="0"/>
    <x v="0"/>
  </r>
  <r>
    <n v="2537"/>
    <n v="103881072"/>
    <s v="Recovery"/>
    <n v="200"/>
    <s v="AHY"/>
    <s v="M"/>
    <n v="1"/>
    <n v="2008"/>
    <n v="2007"/>
    <n v="3"/>
    <x v="0"/>
    <s v="3B"/>
    <x v="1"/>
    <n v="1"/>
    <n v="7"/>
    <x v="0"/>
    <x v="0"/>
  </r>
  <r>
    <n v="2539"/>
    <n v="103881074"/>
    <s v="Recovery"/>
    <n v="200"/>
    <s v="AHY"/>
    <s v="M"/>
    <n v="10"/>
    <n v="2007"/>
    <n v="2007"/>
    <n v="3"/>
    <x v="0"/>
    <s v="3B"/>
    <x v="1"/>
    <n v="1"/>
    <n v="7"/>
    <x v="0"/>
    <x v="0"/>
  </r>
  <r>
    <n v="2541"/>
    <n v="103881076"/>
    <s v="Recovery"/>
    <n v="200"/>
    <s v="AHY"/>
    <s v="F"/>
    <n v="1"/>
    <n v="2009"/>
    <n v="2008"/>
    <n v="4"/>
    <x v="0"/>
    <s v="4B"/>
    <x v="6"/>
    <n v="1"/>
    <n v="7"/>
    <x v="0"/>
    <x v="0"/>
  </r>
  <r>
    <n v="2542"/>
    <n v="103881077"/>
    <s v="Recovery"/>
    <n v="200"/>
    <s v="AHY"/>
    <s v="M"/>
    <n v="9"/>
    <n v="2017"/>
    <n v="2017"/>
    <n v="13"/>
    <x v="0"/>
    <s v="13B"/>
    <x v="13"/>
    <n v="1"/>
    <n v="7"/>
    <x v="0"/>
    <x v="0"/>
  </r>
  <r>
    <n v="2543"/>
    <n v="103881078"/>
    <s v="Recovery"/>
    <n v="200"/>
    <s v="AHY"/>
    <s v="F"/>
    <n v="1"/>
    <n v="2009"/>
    <n v="2008"/>
    <n v="4"/>
    <x v="0"/>
    <s v="4B"/>
    <x v="6"/>
    <n v="1"/>
    <n v="7"/>
    <x v="0"/>
    <x v="0"/>
  </r>
  <r>
    <n v="2546"/>
    <n v="103881081"/>
    <s v="Recovery"/>
    <n v="200"/>
    <s v="AHY"/>
    <s v="F"/>
    <n v="9"/>
    <n v="2008"/>
    <n v="2008"/>
    <n v="4"/>
    <x v="0"/>
    <s v="4B"/>
    <x v="6"/>
    <n v="1"/>
    <n v="7"/>
    <x v="0"/>
    <x v="0"/>
  </r>
  <r>
    <n v="2547"/>
    <n v="103881082"/>
    <s v="Recovery"/>
    <n v="200"/>
    <s v="AHY"/>
    <s v="M"/>
    <n v="10"/>
    <n v="2008"/>
    <n v="2008"/>
    <n v="4"/>
    <x v="0"/>
    <s v="4B"/>
    <x v="6"/>
    <n v="1"/>
    <n v="7"/>
    <x v="0"/>
    <x v="0"/>
  </r>
  <r>
    <n v="2550"/>
    <n v="103881085"/>
    <s v="Recovery"/>
    <n v="200"/>
    <s v="AHY"/>
    <s v="F"/>
    <n v="1"/>
    <n v="2011"/>
    <n v="2010"/>
    <n v="6"/>
    <x v="0"/>
    <s v="6B"/>
    <x v="2"/>
    <n v="1"/>
    <n v="7"/>
    <x v="0"/>
    <x v="0"/>
  </r>
  <r>
    <n v="2555"/>
    <n v="103881090"/>
    <s v="Recovery"/>
    <n v="200"/>
    <s v="AHY"/>
    <s v="F"/>
    <n v="1"/>
    <n v="2009"/>
    <n v="2008"/>
    <n v="4"/>
    <x v="0"/>
    <s v="4B"/>
    <x v="6"/>
    <n v="1"/>
    <n v="7"/>
    <x v="0"/>
    <x v="0"/>
  </r>
  <r>
    <n v="2558"/>
    <n v="103881093"/>
    <s v="Recovery"/>
    <n v="200"/>
    <s v="AHY"/>
    <s v="M"/>
    <n v="9"/>
    <n v="2007"/>
    <n v="2007"/>
    <n v="3"/>
    <x v="0"/>
    <s v="3B"/>
    <x v="1"/>
    <n v="1"/>
    <n v="7"/>
    <x v="0"/>
    <x v="0"/>
  </r>
  <r>
    <n v="2559"/>
    <n v="103881094"/>
    <s v="Recovery"/>
    <n v="200"/>
    <s v="AHY"/>
    <s v="F"/>
    <n v="9"/>
    <n v="2010"/>
    <n v="2010"/>
    <n v="6"/>
    <x v="0"/>
    <s v="6B"/>
    <x v="2"/>
    <n v="1"/>
    <n v="7"/>
    <x v="0"/>
    <x v="0"/>
  </r>
  <r>
    <n v="2560"/>
    <n v="103881095"/>
    <s v="Recovery"/>
    <n v="200"/>
    <s v="HY"/>
    <s v="M"/>
    <n v="9"/>
    <n v="2007"/>
    <n v="2007"/>
    <n v="3"/>
    <x v="0"/>
    <s v="3B"/>
    <x v="1"/>
    <n v="1"/>
    <n v="7"/>
    <x v="0"/>
    <x v="0"/>
  </r>
  <r>
    <n v="2562"/>
    <n v="103881097"/>
    <s v="Recovery"/>
    <n v="200"/>
    <s v="AHY"/>
    <s v="F"/>
    <n v="1"/>
    <n v="2010"/>
    <n v="2009"/>
    <n v="5"/>
    <x v="0"/>
    <s v="5B"/>
    <x v="8"/>
    <n v="1"/>
    <n v="7"/>
    <x v="0"/>
    <x v="0"/>
  </r>
  <r>
    <n v="2563"/>
    <n v="103881098"/>
    <s v="Recovery"/>
    <n v="200"/>
    <s v="AHY"/>
    <s v="F"/>
    <n v="9"/>
    <n v="2010"/>
    <n v="2010"/>
    <n v="6"/>
    <x v="0"/>
    <s v="6B"/>
    <x v="2"/>
    <n v="1"/>
    <n v="7"/>
    <x v="0"/>
    <x v="0"/>
  </r>
  <r>
    <n v="2568"/>
    <n v="103881103"/>
    <s v="Recovery"/>
    <n v="200"/>
    <s v="AHY"/>
    <s v="M"/>
    <n v="1"/>
    <n v="2011"/>
    <n v="2010"/>
    <n v="6"/>
    <x v="0"/>
    <s v="6B"/>
    <x v="2"/>
    <n v="1"/>
    <n v="7"/>
    <x v="0"/>
    <x v="0"/>
  </r>
  <r>
    <n v="2569"/>
    <n v="103881104"/>
    <s v="Recovery"/>
    <n v="200"/>
    <s v="AHY"/>
    <s v="M"/>
    <n v="1"/>
    <n v="2011"/>
    <n v="2010"/>
    <n v="6"/>
    <x v="0"/>
    <s v="6B"/>
    <x v="2"/>
    <n v="1"/>
    <n v="7"/>
    <x v="0"/>
    <x v="0"/>
  </r>
  <r>
    <n v="2570"/>
    <n v="103881105"/>
    <s v="Recovery"/>
    <n v="200"/>
    <s v="AHY"/>
    <s v="M"/>
    <n v="10"/>
    <n v="2007"/>
    <n v="2007"/>
    <n v="3"/>
    <x v="0"/>
    <s v="3B"/>
    <x v="1"/>
    <n v="1"/>
    <n v="7"/>
    <x v="0"/>
    <x v="0"/>
  </r>
  <r>
    <n v="2571"/>
    <n v="103881106"/>
    <s v="Recovery"/>
    <n v="200"/>
    <s v="AHY"/>
    <s v="M"/>
    <n v="9"/>
    <n v="2009"/>
    <n v="2009"/>
    <n v="5"/>
    <x v="0"/>
    <s v="5B"/>
    <x v="8"/>
    <n v="1"/>
    <n v="7"/>
    <x v="0"/>
    <x v="0"/>
  </r>
  <r>
    <n v="2573"/>
    <n v="103881108"/>
    <s v="Recovery"/>
    <n v="200"/>
    <s v="AHY"/>
    <s v="M"/>
    <n v="9"/>
    <n v="2011"/>
    <n v="2011"/>
    <n v="7"/>
    <x v="0"/>
    <s v="7B"/>
    <x v="9"/>
    <n v="1"/>
    <n v="7"/>
    <x v="0"/>
    <x v="0"/>
  </r>
  <r>
    <n v="2580"/>
    <n v="103881115"/>
    <s v="Recovery"/>
    <n v="200"/>
    <s v="AHY"/>
    <s v="F"/>
    <n v="1"/>
    <n v="2012"/>
    <n v="2011"/>
    <n v="7"/>
    <x v="0"/>
    <s v="7B"/>
    <x v="9"/>
    <n v="1"/>
    <n v="7"/>
    <x v="0"/>
    <x v="0"/>
  </r>
  <r>
    <n v="2582"/>
    <n v="103881117"/>
    <s v="Recovery"/>
    <n v="200"/>
    <s v="AHY"/>
    <s v="M"/>
    <n v="10"/>
    <n v="2009"/>
    <n v="2009"/>
    <n v="5"/>
    <x v="0"/>
    <s v="5B"/>
    <x v="8"/>
    <n v="1"/>
    <n v="7"/>
    <x v="0"/>
    <x v="0"/>
  </r>
  <r>
    <n v="2588"/>
    <n v="103881123"/>
    <s v="Recovery"/>
    <n v="200"/>
    <s v="AHY"/>
    <s v="M"/>
    <n v="1"/>
    <n v="2010"/>
    <n v="2009"/>
    <n v="5"/>
    <x v="0"/>
    <s v="5B"/>
    <x v="8"/>
    <n v="1"/>
    <n v="7"/>
    <x v="0"/>
    <x v="0"/>
  </r>
  <r>
    <n v="2589"/>
    <n v="103881124"/>
    <s v="Recovery"/>
    <n v="200"/>
    <s v="AHY"/>
    <s v="M"/>
    <n v="9"/>
    <n v="2014"/>
    <n v="2014"/>
    <n v="10"/>
    <x v="0"/>
    <s v="10B"/>
    <x v="7"/>
    <n v="1"/>
    <n v="7"/>
    <x v="0"/>
    <x v="0"/>
  </r>
  <r>
    <n v="2595"/>
    <n v="103881130"/>
    <s v="Recovery"/>
    <n v="200"/>
    <s v="AHY"/>
    <s v="M"/>
    <n v="1"/>
    <n v="2008"/>
    <n v="2007"/>
    <n v="3"/>
    <x v="0"/>
    <s v="3B"/>
    <x v="1"/>
    <n v="1"/>
    <n v="7"/>
    <x v="0"/>
    <x v="0"/>
  </r>
  <r>
    <n v="2599"/>
    <n v="103881134"/>
    <s v="Recovery"/>
    <n v="200"/>
    <s v="AHY"/>
    <s v="M"/>
    <n v="10"/>
    <n v="2018"/>
    <n v="2018"/>
    <n v="14"/>
    <x v="0"/>
    <s v="14B"/>
    <x v="10"/>
    <n v="1"/>
    <n v="7"/>
    <x v="0"/>
    <x v="0"/>
  </r>
  <r>
    <n v="2601"/>
    <n v="103881136"/>
    <s v="Recovery"/>
    <n v="200"/>
    <s v="AHY"/>
    <s v="F"/>
    <n v="1"/>
    <n v="2009"/>
    <n v="2008"/>
    <n v="4"/>
    <x v="0"/>
    <s v="4B"/>
    <x v="6"/>
    <n v="1"/>
    <n v="7"/>
    <x v="0"/>
    <x v="0"/>
  </r>
  <r>
    <n v="2608"/>
    <n v="103881143"/>
    <s v="Recovery"/>
    <n v="200"/>
    <s v="AHY"/>
    <s v="M"/>
    <n v="9"/>
    <n v="2007"/>
    <n v="2007"/>
    <n v="3"/>
    <x v="0"/>
    <s v="3B"/>
    <x v="1"/>
    <n v="1"/>
    <n v="7"/>
    <x v="0"/>
    <x v="0"/>
  </r>
  <r>
    <n v="2609"/>
    <n v="103881144"/>
    <s v="Recovery"/>
    <n v="200"/>
    <s v="AHY"/>
    <s v="F"/>
    <n v="1"/>
    <n v="2010"/>
    <n v="2009"/>
    <n v="5"/>
    <x v="0"/>
    <s v="5B"/>
    <x v="8"/>
    <n v="1"/>
    <n v="7"/>
    <x v="0"/>
    <x v="0"/>
  </r>
  <r>
    <n v="2610"/>
    <n v="103881145"/>
    <s v="Recovery"/>
    <n v="200"/>
    <s v="AHY"/>
    <s v="M"/>
    <n v="12"/>
    <n v="2008"/>
    <n v="2008"/>
    <n v="4"/>
    <x v="0"/>
    <s v="4B"/>
    <x v="6"/>
    <n v="1"/>
    <n v="7"/>
    <x v="0"/>
    <x v="0"/>
  </r>
  <r>
    <n v="2613"/>
    <n v="103881148"/>
    <s v="Recovery"/>
    <n v="200"/>
    <s v="AHY"/>
    <s v="F"/>
    <n v="9"/>
    <n v="2010"/>
    <n v="2010"/>
    <n v="6"/>
    <x v="0"/>
    <s v="6B"/>
    <x v="2"/>
    <n v="1"/>
    <n v="7"/>
    <x v="0"/>
    <x v="0"/>
  </r>
  <r>
    <n v="2626"/>
    <n v="103881161"/>
    <s v="Recovery"/>
    <n v="200"/>
    <s v="AHY"/>
    <s v="M"/>
    <n v="1"/>
    <n v="2009"/>
    <n v="2008"/>
    <n v="4"/>
    <x v="0"/>
    <s v="4B"/>
    <x v="6"/>
    <n v="1"/>
    <n v="7"/>
    <x v="0"/>
    <x v="0"/>
  </r>
  <r>
    <n v="2627"/>
    <n v="103881162"/>
    <s v="Recovery"/>
    <n v="200"/>
    <s v="AHY"/>
    <s v="F"/>
    <n v="1"/>
    <n v="2013"/>
    <n v="2012"/>
    <n v="8"/>
    <x v="0"/>
    <s v="8B"/>
    <x v="3"/>
    <n v="1"/>
    <n v="7"/>
    <x v="0"/>
    <x v="0"/>
  </r>
  <r>
    <n v="2628"/>
    <n v="103881163"/>
    <s v="Recovery"/>
    <n v="200"/>
    <s v="AHY"/>
    <s v="M"/>
    <n v="1"/>
    <n v="2009"/>
    <n v="2008"/>
    <n v="4"/>
    <x v="0"/>
    <s v="4B"/>
    <x v="6"/>
    <n v="1"/>
    <n v="7"/>
    <x v="0"/>
    <x v="0"/>
  </r>
  <r>
    <n v="2630"/>
    <n v="103881165"/>
    <s v="Recovery"/>
    <n v="200"/>
    <s v="AHY"/>
    <s v="M"/>
    <n v="1"/>
    <n v="2013"/>
    <n v="2012"/>
    <n v="8"/>
    <x v="0"/>
    <s v="8B"/>
    <x v="3"/>
    <n v="1"/>
    <n v="7"/>
    <x v="0"/>
    <x v="0"/>
  </r>
  <r>
    <n v="2631"/>
    <n v="103881166"/>
    <s v="Recovery"/>
    <n v="200"/>
    <s v="AHY"/>
    <s v="F"/>
    <n v="1"/>
    <n v="2012"/>
    <n v="2011"/>
    <n v="7"/>
    <x v="0"/>
    <s v="7B"/>
    <x v="9"/>
    <n v="1"/>
    <n v="7"/>
    <x v="0"/>
    <x v="0"/>
  </r>
  <r>
    <n v="2632"/>
    <n v="103881167"/>
    <s v="Recovery"/>
    <n v="200"/>
    <s v="AHY"/>
    <s v="F"/>
    <n v="1"/>
    <n v="2009"/>
    <n v="2008"/>
    <n v="4"/>
    <x v="0"/>
    <s v="4B"/>
    <x v="6"/>
    <n v="1"/>
    <n v="7"/>
    <x v="0"/>
    <x v="0"/>
  </r>
  <r>
    <n v="2633"/>
    <n v="103881168"/>
    <s v="Recovery"/>
    <n v="200"/>
    <s v="AHY"/>
    <s v="F"/>
    <n v="9"/>
    <n v="2010"/>
    <n v="2010"/>
    <n v="6"/>
    <x v="0"/>
    <s v="6B"/>
    <x v="2"/>
    <n v="1"/>
    <n v="7"/>
    <x v="0"/>
    <x v="0"/>
  </r>
  <r>
    <n v="2635"/>
    <n v="103881170"/>
    <s v="Recovery"/>
    <n v="200"/>
    <s v="HY"/>
    <s v="M"/>
    <n v="9"/>
    <n v="2007"/>
    <n v="2007"/>
    <n v="3"/>
    <x v="0"/>
    <s v="3B"/>
    <x v="1"/>
    <n v="1"/>
    <n v="7"/>
    <x v="0"/>
    <x v="0"/>
  </r>
  <r>
    <n v="2636"/>
    <n v="103881171"/>
    <s v="Recovery"/>
    <n v="200"/>
    <s v="HY"/>
    <s v="F"/>
    <n v="1"/>
    <n v="2008"/>
    <n v="2007"/>
    <n v="3"/>
    <x v="0"/>
    <s v="3B"/>
    <x v="1"/>
    <n v="1"/>
    <n v="7"/>
    <x v="0"/>
    <x v="0"/>
  </r>
  <r>
    <n v="2638"/>
    <n v="103881173"/>
    <s v="Recovery"/>
    <n v="200"/>
    <s v="HY"/>
    <s v="F"/>
    <n v="9"/>
    <n v="2007"/>
    <n v="2007"/>
    <n v="3"/>
    <x v="0"/>
    <s v="3B"/>
    <x v="1"/>
    <n v="1"/>
    <n v="7"/>
    <x v="0"/>
    <x v="0"/>
  </r>
  <r>
    <n v="2641"/>
    <n v="103881176"/>
    <s v="Recovery"/>
    <n v="200"/>
    <s v="AHY"/>
    <s v="M"/>
    <n v="9"/>
    <n v="2012"/>
    <n v="2012"/>
    <n v="8"/>
    <x v="0"/>
    <s v="8B"/>
    <x v="3"/>
    <n v="1"/>
    <n v="7"/>
    <x v="0"/>
    <x v="0"/>
  </r>
  <r>
    <n v="2642"/>
    <n v="103881177"/>
    <s v="Recovery"/>
    <n v="200"/>
    <s v="AHY"/>
    <s v="M"/>
    <n v="1"/>
    <n v="2009"/>
    <n v="2008"/>
    <n v="4"/>
    <x v="0"/>
    <s v="4B"/>
    <x v="6"/>
    <n v="1"/>
    <n v="7"/>
    <x v="0"/>
    <x v="0"/>
  </r>
  <r>
    <n v="2644"/>
    <n v="103881179"/>
    <s v="Recovery"/>
    <n v="200"/>
    <s v="AHY"/>
    <s v="F"/>
    <n v="1"/>
    <n v="2009"/>
    <n v="2008"/>
    <n v="4"/>
    <x v="0"/>
    <s v="4B"/>
    <x v="6"/>
    <n v="1"/>
    <n v="7"/>
    <x v="0"/>
    <x v="0"/>
  </r>
  <r>
    <n v="2645"/>
    <n v="103881180"/>
    <s v="Recovery"/>
    <n v="200"/>
    <s v="HY"/>
    <s v="F"/>
    <n v="1"/>
    <n v="2008"/>
    <n v="2007"/>
    <n v="3"/>
    <x v="0"/>
    <s v="3B"/>
    <x v="1"/>
    <n v="1"/>
    <n v="7"/>
    <x v="0"/>
    <x v="0"/>
  </r>
  <r>
    <n v="2646"/>
    <n v="103881181"/>
    <s v="Recovery"/>
    <n v="200"/>
    <s v="HY"/>
    <s v="F"/>
    <n v="12"/>
    <n v="2007"/>
    <n v="2007"/>
    <n v="3"/>
    <x v="0"/>
    <s v="3B"/>
    <x v="1"/>
    <n v="1"/>
    <n v="7"/>
    <x v="0"/>
    <x v="0"/>
  </r>
  <r>
    <n v="2648"/>
    <n v="103881183"/>
    <s v="Recovery"/>
    <n v="200"/>
    <s v="AHY"/>
    <s v="F"/>
    <n v="9"/>
    <n v="2007"/>
    <n v="2007"/>
    <n v="3"/>
    <x v="0"/>
    <s v="3B"/>
    <x v="1"/>
    <n v="1"/>
    <n v="7"/>
    <x v="0"/>
    <x v="0"/>
  </r>
  <r>
    <n v="2651"/>
    <n v="103881186"/>
    <s v="Recovery"/>
    <n v="200"/>
    <s v="AHY"/>
    <s v="F"/>
    <n v="12"/>
    <n v="2010"/>
    <n v="2010"/>
    <n v="6"/>
    <x v="0"/>
    <s v="6B"/>
    <x v="2"/>
    <n v="1"/>
    <n v="7"/>
    <x v="0"/>
    <x v="0"/>
  </r>
  <r>
    <n v="2661"/>
    <n v="103881196"/>
    <s v="Recovery"/>
    <n v="200"/>
    <s v="AHY"/>
    <s v="M"/>
    <n v="12"/>
    <n v="2007"/>
    <n v="2007"/>
    <n v="3"/>
    <x v="0"/>
    <s v="3B"/>
    <x v="1"/>
    <n v="1"/>
    <n v="7"/>
    <x v="0"/>
    <x v="0"/>
  </r>
  <r>
    <n v="2668"/>
    <n v="103881203"/>
    <s v="Recovery"/>
    <n v="200"/>
    <s v="AHY"/>
    <s v="M"/>
    <n v="1"/>
    <n v="2009"/>
    <n v="2008"/>
    <n v="4"/>
    <x v="0"/>
    <s v="4B"/>
    <x v="6"/>
    <n v="1"/>
    <n v="7"/>
    <x v="0"/>
    <x v="0"/>
  </r>
  <r>
    <n v="2670"/>
    <n v="103881205"/>
    <s v="Recovery"/>
    <n v="200"/>
    <s v="AHY"/>
    <s v="F"/>
    <n v="1"/>
    <n v="2008"/>
    <n v="2007"/>
    <n v="3"/>
    <x v="0"/>
    <s v="3B"/>
    <x v="1"/>
    <n v="1"/>
    <n v="7"/>
    <x v="0"/>
    <x v="0"/>
  </r>
  <r>
    <n v="2672"/>
    <n v="103881207"/>
    <s v="Recovery"/>
    <n v="200"/>
    <s v="AHY"/>
    <s v="M"/>
    <n v="9"/>
    <n v="2008"/>
    <n v="2008"/>
    <n v="4"/>
    <x v="0"/>
    <s v="4B"/>
    <x v="6"/>
    <n v="1"/>
    <n v="7"/>
    <x v="0"/>
    <x v="0"/>
  </r>
  <r>
    <n v="2674"/>
    <n v="103881209"/>
    <s v="Recovery"/>
    <n v="200"/>
    <s v="AHY"/>
    <s v="M"/>
    <n v="1"/>
    <n v="2010"/>
    <n v="2009"/>
    <n v="5"/>
    <x v="0"/>
    <s v="5B"/>
    <x v="8"/>
    <n v="1"/>
    <n v="7"/>
    <x v="0"/>
    <x v="0"/>
  </r>
  <r>
    <n v="2678"/>
    <n v="103881213"/>
    <s v="Recovery"/>
    <n v="200"/>
    <s v="AHY"/>
    <s v="F"/>
    <n v="1"/>
    <n v="2012"/>
    <n v="2011"/>
    <n v="7"/>
    <x v="0"/>
    <s v="7B"/>
    <x v="9"/>
    <n v="1"/>
    <n v="7"/>
    <x v="0"/>
    <x v="0"/>
  </r>
  <r>
    <n v="2682"/>
    <n v="103881217"/>
    <s v="Recovery"/>
    <n v="200"/>
    <s v="AHY"/>
    <s v="F"/>
    <n v="1"/>
    <n v="2009"/>
    <n v="2008"/>
    <n v="4"/>
    <x v="0"/>
    <s v="4B"/>
    <x v="6"/>
    <n v="1"/>
    <n v="7"/>
    <x v="0"/>
    <x v="0"/>
  </r>
  <r>
    <n v="2684"/>
    <n v="103881219"/>
    <s v="Recovery"/>
    <n v="200"/>
    <s v="AHY"/>
    <s v="F"/>
    <n v="1"/>
    <n v="2009"/>
    <n v="2008"/>
    <n v="4"/>
    <x v="0"/>
    <s v="4B"/>
    <x v="6"/>
    <n v="1"/>
    <n v="7"/>
    <x v="0"/>
    <x v="0"/>
  </r>
  <r>
    <n v="2696"/>
    <n v="103881231"/>
    <s v="Recovery"/>
    <n v="200"/>
    <s v="AHY"/>
    <s v="M"/>
    <n v="12"/>
    <n v="2009"/>
    <n v="2009"/>
    <n v="5"/>
    <x v="0"/>
    <s v="5B"/>
    <x v="8"/>
    <n v="1"/>
    <n v="7"/>
    <x v="0"/>
    <x v="0"/>
  </r>
  <r>
    <n v="2702"/>
    <n v="103881237"/>
    <s v="Recovery"/>
    <n v="200"/>
    <s v="AHY"/>
    <s v="M"/>
    <n v="9"/>
    <n v="2012"/>
    <n v="2012"/>
    <n v="8"/>
    <x v="0"/>
    <s v="8B"/>
    <x v="3"/>
    <n v="1"/>
    <n v="7"/>
    <x v="0"/>
    <x v="0"/>
  </r>
  <r>
    <n v="2703"/>
    <n v="103881238"/>
    <s v="Recovery"/>
    <n v="200"/>
    <s v="AHY"/>
    <s v="M"/>
    <n v="9"/>
    <n v="2007"/>
    <n v="2007"/>
    <n v="3"/>
    <x v="0"/>
    <s v="3B"/>
    <x v="1"/>
    <n v="1"/>
    <n v="7"/>
    <x v="0"/>
    <x v="0"/>
  </r>
  <r>
    <n v="2709"/>
    <n v="103881244"/>
    <s v="Recovery"/>
    <n v="200"/>
    <s v="AHY"/>
    <s v="M"/>
    <n v="9"/>
    <n v="2010"/>
    <n v="2010"/>
    <n v="6"/>
    <x v="0"/>
    <s v="6B"/>
    <x v="2"/>
    <n v="1"/>
    <n v="7"/>
    <x v="0"/>
    <x v="0"/>
  </r>
  <r>
    <n v="2711"/>
    <n v="103881246"/>
    <s v="Recovery"/>
    <n v="200"/>
    <s v="AHY"/>
    <s v="F"/>
    <n v="1"/>
    <n v="2009"/>
    <n v="2008"/>
    <n v="4"/>
    <x v="0"/>
    <s v="4B"/>
    <x v="6"/>
    <n v="1"/>
    <n v="7"/>
    <x v="0"/>
    <x v="0"/>
  </r>
  <r>
    <n v="2715"/>
    <n v="103881250"/>
    <s v="Recovery"/>
    <n v="200"/>
    <s v="AHY"/>
    <s v="F"/>
    <n v="1"/>
    <n v="2009"/>
    <n v="2008"/>
    <n v="4"/>
    <x v="0"/>
    <s v="4B"/>
    <x v="6"/>
    <n v="1"/>
    <n v="7"/>
    <x v="0"/>
    <x v="0"/>
  </r>
  <r>
    <n v="2718"/>
    <n v="103881253"/>
    <s v="Recovery"/>
    <n v="200"/>
    <s v="HY"/>
    <s v="F"/>
    <n v="12"/>
    <n v="2007"/>
    <n v="2007"/>
    <n v="3"/>
    <x v="0"/>
    <s v="3B"/>
    <x v="1"/>
    <n v="1"/>
    <n v="7"/>
    <x v="0"/>
    <x v="0"/>
  </r>
  <r>
    <n v="2719"/>
    <n v="103881254"/>
    <s v="Recovery"/>
    <n v="200"/>
    <s v="AHY"/>
    <s v="F"/>
    <n v="12"/>
    <n v="2009"/>
    <n v="2009"/>
    <n v="5"/>
    <x v="0"/>
    <s v="5B"/>
    <x v="8"/>
    <n v="1"/>
    <n v="7"/>
    <x v="0"/>
    <x v="0"/>
  </r>
  <r>
    <n v="2720"/>
    <n v="103881255"/>
    <s v="Recovery"/>
    <n v="200"/>
    <s v="AHY"/>
    <s v="M"/>
    <n v="12"/>
    <n v="2007"/>
    <n v="2007"/>
    <n v="3"/>
    <x v="0"/>
    <s v="3B"/>
    <x v="1"/>
    <n v="1"/>
    <n v="7"/>
    <x v="0"/>
    <x v="0"/>
  </r>
  <r>
    <n v="2726"/>
    <n v="103881261"/>
    <s v="Recovery"/>
    <n v="200"/>
    <s v="AHY"/>
    <s v="M"/>
    <n v="1"/>
    <n v="2010"/>
    <n v="2009"/>
    <n v="5"/>
    <x v="0"/>
    <s v="5B"/>
    <x v="8"/>
    <n v="1"/>
    <n v="7"/>
    <x v="0"/>
    <x v="0"/>
  </r>
  <r>
    <n v="2728"/>
    <n v="103881263"/>
    <s v="Recovery"/>
    <n v="200"/>
    <s v="AHY"/>
    <s v="F"/>
    <n v="9"/>
    <n v="2009"/>
    <n v="2009"/>
    <n v="5"/>
    <x v="0"/>
    <s v="5B"/>
    <x v="8"/>
    <n v="1"/>
    <n v="7"/>
    <x v="0"/>
    <x v="0"/>
  </r>
  <r>
    <n v="2729"/>
    <n v="103881264"/>
    <s v="Recovery"/>
    <n v="200"/>
    <s v="AHY"/>
    <s v="F"/>
    <n v="1"/>
    <n v="2009"/>
    <n v="2008"/>
    <n v="4"/>
    <x v="0"/>
    <s v="4B"/>
    <x v="6"/>
    <n v="1"/>
    <n v="7"/>
    <x v="0"/>
    <x v="0"/>
  </r>
  <r>
    <n v="2731"/>
    <n v="103881266"/>
    <s v="Recovery"/>
    <n v="200"/>
    <s v="HY"/>
    <s v="M"/>
    <n v="1"/>
    <n v="2008"/>
    <n v="2007"/>
    <n v="3"/>
    <x v="0"/>
    <s v="3B"/>
    <x v="1"/>
    <n v="1"/>
    <n v="7"/>
    <x v="0"/>
    <x v="0"/>
  </r>
  <r>
    <n v="2733"/>
    <n v="103881268"/>
    <s v="Recovery"/>
    <n v="200"/>
    <s v="AHY"/>
    <s v="F"/>
    <n v="9"/>
    <n v="2009"/>
    <n v="2009"/>
    <n v="5"/>
    <x v="0"/>
    <s v="5B"/>
    <x v="8"/>
    <n v="1"/>
    <n v="7"/>
    <x v="0"/>
    <x v="0"/>
  </r>
  <r>
    <n v="2734"/>
    <n v="103881269"/>
    <s v="Recovery"/>
    <n v="200"/>
    <s v="AHY"/>
    <s v="F"/>
    <n v="1"/>
    <n v="2008"/>
    <n v="2007"/>
    <n v="3"/>
    <x v="0"/>
    <s v="3B"/>
    <x v="1"/>
    <n v="1"/>
    <n v="7"/>
    <x v="0"/>
    <x v="0"/>
  </r>
  <r>
    <n v="2739"/>
    <n v="103881274"/>
    <s v="Recovery"/>
    <n v="200"/>
    <s v="AHY"/>
    <s v="M"/>
    <n v="12"/>
    <n v="2009"/>
    <n v="2009"/>
    <n v="5"/>
    <x v="0"/>
    <s v="5B"/>
    <x v="8"/>
    <n v="1"/>
    <n v="7"/>
    <x v="0"/>
    <x v="0"/>
  </r>
  <r>
    <n v="2745"/>
    <n v="103881280"/>
    <s v="Recovery"/>
    <n v="200"/>
    <s v="AHY"/>
    <s v="M"/>
    <n v="11"/>
    <n v="2010"/>
    <n v="2010"/>
    <n v="6"/>
    <x v="0"/>
    <s v="6B"/>
    <x v="2"/>
    <n v="1"/>
    <n v="7"/>
    <x v="0"/>
    <x v="0"/>
  </r>
  <r>
    <n v="2749"/>
    <n v="103881284"/>
    <s v="Recovery"/>
    <n v="200"/>
    <s v="AHY"/>
    <s v="F"/>
    <n v="9"/>
    <n v="2017"/>
    <n v="2017"/>
    <n v="13"/>
    <x v="0"/>
    <s v="13B"/>
    <x v="13"/>
    <n v="1"/>
    <n v="7"/>
    <x v="0"/>
    <x v="0"/>
  </r>
  <r>
    <n v="2750"/>
    <n v="103881285"/>
    <s v="Recovery"/>
    <n v="200"/>
    <s v="AHY"/>
    <s v="F"/>
    <n v="9"/>
    <n v="2012"/>
    <n v="2012"/>
    <n v="8"/>
    <x v="0"/>
    <s v="8B"/>
    <x v="3"/>
    <n v="1"/>
    <n v="7"/>
    <x v="0"/>
    <x v="0"/>
  </r>
  <r>
    <n v="2751"/>
    <n v="103881286"/>
    <s v="Recovery"/>
    <n v="200"/>
    <s v="AHY"/>
    <s v="F"/>
    <n v="1"/>
    <n v="2008"/>
    <n v="2007"/>
    <n v="3"/>
    <x v="0"/>
    <s v="3B"/>
    <x v="1"/>
    <n v="1"/>
    <n v="7"/>
    <x v="0"/>
    <x v="0"/>
  </r>
  <r>
    <n v="2752"/>
    <n v="103881287"/>
    <s v="Recovery"/>
    <n v="200"/>
    <s v="AHY"/>
    <s v="M"/>
    <n v="1"/>
    <n v="2011"/>
    <n v="2010"/>
    <n v="6"/>
    <x v="0"/>
    <s v="6B"/>
    <x v="2"/>
    <n v="1"/>
    <n v="7"/>
    <x v="0"/>
    <x v="0"/>
  </r>
  <r>
    <n v="2754"/>
    <n v="103881289"/>
    <s v="Recovery"/>
    <n v="200"/>
    <s v="AHY"/>
    <s v="F"/>
    <n v="1"/>
    <n v="2010"/>
    <n v="2009"/>
    <n v="5"/>
    <x v="0"/>
    <s v="5B"/>
    <x v="8"/>
    <n v="1"/>
    <n v="7"/>
    <x v="0"/>
    <x v="0"/>
  </r>
  <r>
    <n v="2755"/>
    <n v="103881290"/>
    <s v="Recovery"/>
    <n v="200"/>
    <s v="AHY"/>
    <s v="M"/>
    <n v="12"/>
    <n v="2007"/>
    <n v="2007"/>
    <n v="3"/>
    <x v="0"/>
    <s v="3B"/>
    <x v="1"/>
    <n v="1"/>
    <n v="7"/>
    <x v="0"/>
    <x v="0"/>
  </r>
  <r>
    <n v="2756"/>
    <n v="103881291"/>
    <s v="Recovery"/>
    <n v="200"/>
    <s v="AHY"/>
    <s v="F"/>
    <n v="1"/>
    <n v="2008"/>
    <n v="2007"/>
    <n v="3"/>
    <x v="0"/>
    <s v="3B"/>
    <x v="1"/>
    <n v="1"/>
    <n v="7"/>
    <x v="0"/>
    <x v="0"/>
  </r>
  <r>
    <n v="2757"/>
    <n v="103881292"/>
    <s v="Recovery"/>
    <n v="200"/>
    <s v="AHY"/>
    <s v="M"/>
    <n v="9"/>
    <n v="2010"/>
    <n v="2010"/>
    <n v="6"/>
    <x v="0"/>
    <s v="6B"/>
    <x v="2"/>
    <n v="1"/>
    <n v="7"/>
    <x v="0"/>
    <x v="0"/>
  </r>
  <r>
    <n v="2760"/>
    <n v="103881295"/>
    <s v="Recovery"/>
    <n v="200"/>
    <s v="AHY"/>
    <s v="F"/>
    <n v="9"/>
    <n v="2017"/>
    <n v="2017"/>
    <n v="13"/>
    <x v="0"/>
    <s v="13B"/>
    <x v="13"/>
    <n v="1"/>
    <n v="7"/>
    <x v="0"/>
    <x v="0"/>
  </r>
  <r>
    <n v="2761"/>
    <n v="103881296"/>
    <s v="Recovery"/>
    <n v="200"/>
    <s v="AHY"/>
    <s v="M"/>
    <n v="12"/>
    <n v="2011"/>
    <n v="2011"/>
    <n v="7"/>
    <x v="0"/>
    <s v="7B"/>
    <x v="9"/>
    <n v="1"/>
    <n v="7"/>
    <x v="0"/>
    <x v="0"/>
  </r>
  <r>
    <n v="2763"/>
    <n v="103881298"/>
    <s v="Recovery"/>
    <n v="200"/>
    <s v="AHY"/>
    <s v="M"/>
    <n v="1"/>
    <n v="2008"/>
    <n v="2007"/>
    <n v="3"/>
    <x v="0"/>
    <s v="3B"/>
    <x v="1"/>
    <n v="1"/>
    <n v="7"/>
    <x v="0"/>
    <x v="0"/>
  </r>
  <r>
    <n v="2767"/>
    <n v="103881302"/>
    <s v="Recovery"/>
    <n v="200"/>
    <s v="AHY"/>
    <s v="M"/>
    <n v="1"/>
    <n v="2008"/>
    <n v="2007"/>
    <n v="3"/>
    <x v="0"/>
    <s v="3B"/>
    <x v="1"/>
    <n v="1"/>
    <n v="7"/>
    <x v="0"/>
    <x v="0"/>
  </r>
  <r>
    <n v="2772"/>
    <n v="103881307"/>
    <s v="Recovery"/>
    <n v="200"/>
    <s v="AHY"/>
    <s v="M"/>
    <n v="1"/>
    <n v="2008"/>
    <n v="2007"/>
    <n v="3"/>
    <x v="0"/>
    <s v="3B"/>
    <x v="1"/>
    <n v="1"/>
    <n v="7"/>
    <x v="0"/>
    <x v="0"/>
  </r>
  <r>
    <n v="2776"/>
    <n v="103881311"/>
    <s v="Recovery"/>
    <n v="200"/>
    <s v="AHY"/>
    <s v="F"/>
    <n v="12"/>
    <n v="2015"/>
    <n v="2015"/>
    <n v="11"/>
    <x v="0"/>
    <s v="11B"/>
    <x v="14"/>
    <n v="1"/>
    <n v="7"/>
    <x v="0"/>
    <x v="0"/>
  </r>
  <r>
    <n v="2777"/>
    <n v="103881312"/>
    <s v="Recovery"/>
    <n v="200"/>
    <s v="AHY"/>
    <s v="F"/>
    <n v="12"/>
    <n v="2009"/>
    <n v="2009"/>
    <n v="5"/>
    <x v="0"/>
    <s v="5B"/>
    <x v="8"/>
    <n v="1"/>
    <n v="7"/>
    <x v="0"/>
    <x v="0"/>
  </r>
  <r>
    <n v="2778"/>
    <n v="103881313"/>
    <s v="Recovery"/>
    <n v="200"/>
    <s v="AHY"/>
    <s v="M"/>
    <n v="1"/>
    <n v="2008"/>
    <n v="2007"/>
    <n v="3"/>
    <x v="0"/>
    <s v="3B"/>
    <x v="1"/>
    <n v="1"/>
    <n v="7"/>
    <x v="0"/>
    <x v="0"/>
  </r>
  <r>
    <n v="2781"/>
    <n v="103881316"/>
    <s v="Recovery"/>
    <n v="200"/>
    <s v="AHY"/>
    <s v="M"/>
    <n v="10"/>
    <n v="2009"/>
    <n v="2009"/>
    <n v="5"/>
    <x v="0"/>
    <s v="5B"/>
    <x v="8"/>
    <n v="1"/>
    <n v="7"/>
    <x v="0"/>
    <x v="0"/>
  </r>
  <r>
    <n v="2783"/>
    <n v="103881318"/>
    <s v="Recovery"/>
    <n v="200"/>
    <s v="AHY"/>
    <s v="M"/>
    <n v="1"/>
    <n v="2009"/>
    <n v="2008"/>
    <n v="4"/>
    <x v="0"/>
    <s v="4B"/>
    <x v="6"/>
    <n v="1"/>
    <n v="7"/>
    <x v="0"/>
    <x v="0"/>
  </r>
  <r>
    <n v="2787"/>
    <n v="103881322"/>
    <s v="Recovery"/>
    <n v="200"/>
    <s v="AHY"/>
    <s v="M"/>
    <n v="9"/>
    <n v="2011"/>
    <n v="2011"/>
    <n v="7"/>
    <x v="0"/>
    <s v="7B"/>
    <x v="9"/>
    <n v="1"/>
    <n v="7"/>
    <x v="0"/>
    <x v="0"/>
  </r>
  <r>
    <n v="2788"/>
    <n v="103881323"/>
    <s v="Recovery"/>
    <n v="200"/>
    <s v="AHY"/>
    <s v="F"/>
    <n v="1"/>
    <n v="2010"/>
    <n v="2009"/>
    <n v="5"/>
    <x v="0"/>
    <s v="5B"/>
    <x v="8"/>
    <n v="1"/>
    <n v="7"/>
    <x v="0"/>
    <x v="0"/>
  </r>
  <r>
    <n v="2789"/>
    <n v="103881324"/>
    <s v="Recovery"/>
    <n v="200"/>
    <s v="AHY"/>
    <s v="F"/>
    <n v="12"/>
    <n v="2007"/>
    <n v="2007"/>
    <n v="3"/>
    <x v="0"/>
    <s v="3B"/>
    <x v="1"/>
    <n v="1"/>
    <n v="7"/>
    <x v="0"/>
    <x v="0"/>
  </r>
  <r>
    <n v="2796"/>
    <n v="103881331"/>
    <s v="Recovery"/>
    <n v="200"/>
    <s v="AHY"/>
    <s v="F"/>
    <n v="9"/>
    <n v="2009"/>
    <n v="2009"/>
    <n v="5"/>
    <x v="0"/>
    <s v="5B"/>
    <x v="8"/>
    <n v="1"/>
    <n v="7"/>
    <x v="0"/>
    <x v="0"/>
  </r>
  <r>
    <n v="2798"/>
    <n v="103881333"/>
    <s v="Recovery"/>
    <n v="200"/>
    <s v="AHY"/>
    <s v="F"/>
    <n v="1"/>
    <n v="2010"/>
    <n v="2009"/>
    <n v="5"/>
    <x v="0"/>
    <s v="5B"/>
    <x v="8"/>
    <n v="1"/>
    <n v="7"/>
    <x v="0"/>
    <x v="0"/>
  </r>
  <r>
    <n v="2799"/>
    <n v="103881334"/>
    <s v="Recovery"/>
    <n v="200"/>
    <s v="AHY"/>
    <s v="F"/>
    <n v="9"/>
    <n v="2009"/>
    <n v="2009"/>
    <n v="5"/>
    <x v="0"/>
    <s v="5B"/>
    <x v="8"/>
    <n v="1"/>
    <n v="7"/>
    <x v="0"/>
    <x v="0"/>
  </r>
  <r>
    <n v="2801"/>
    <n v="103881336"/>
    <s v="Recovery"/>
    <n v="200"/>
    <s v="AHY"/>
    <s v="F"/>
    <n v="12"/>
    <n v="2015"/>
    <n v="2015"/>
    <n v="11"/>
    <x v="0"/>
    <s v="11B"/>
    <x v="14"/>
    <n v="1"/>
    <n v="7"/>
    <x v="0"/>
    <x v="0"/>
  </r>
  <r>
    <n v="2803"/>
    <n v="103881338"/>
    <s v="Recovery"/>
    <n v="200"/>
    <s v="AHY"/>
    <s v="F"/>
    <n v="1"/>
    <n v="2008"/>
    <n v="2007"/>
    <n v="3"/>
    <x v="0"/>
    <s v="3B"/>
    <x v="1"/>
    <n v="1"/>
    <n v="7"/>
    <x v="0"/>
    <x v="0"/>
  </r>
  <r>
    <n v="2804"/>
    <n v="103881339"/>
    <s v="Recovery"/>
    <n v="200"/>
    <s v="AHY"/>
    <s v="M"/>
    <n v="9"/>
    <n v="2013"/>
    <n v="2013"/>
    <n v="9"/>
    <x v="0"/>
    <s v="9B"/>
    <x v="4"/>
    <n v="1"/>
    <n v="7"/>
    <x v="0"/>
    <x v="0"/>
  </r>
  <r>
    <n v="2807"/>
    <n v="103881342"/>
    <s v="Recovery"/>
    <n v="200"/>
    <s v="AHY"/>
    <s v="F"/>
    <n v="9"/>
    <n v="2009"/>
    <n v="2009"/>
    <n v="5"/>
    <x v="0"/>
    <s v="5B"/>
    <x v="8"/>
    <n v="1"/>
    <n v="7"/>
    <x v="0"/>
    <x v="0"/>
  </r>
  <r>
    <n v="2808"/>
    <n v="103881343"/>
    <s v="Recovery"/>
    <n v="200"/>
    <s v="AHY"/>
    <s v="M"/>
    <n v="1"/>
    <n v="2008"/>
    <n v="2007"/>
    <n v="3"/>
    <x v="0"/>
    <s v="3B"/>
    <x v="1"/>
    <n v="1"/>
    <n v="7"/>
    <x v="0"/>
    <x v="0"/>
  </r>
  <r>
    <n v="2810"/>
    <n v="103881345"/>
    <s v="Recovery"/>
    <n v="200"/>
    <s v="AHY"/>
    <s v="F"/>
    <n v="1"/>
    <n v="2008"/>
    <n v="2007"/>
    <n v="3"/>
    <x v="0"/>
    <s v="3B"/>
    <x v="1"/>
    <n v="1"/>
    <n v="7"/>
    <x v="0"/>
    <x v="0"/>
  </r>
  <r>
    <n v="2813"/>
    <n v="103881348"/>
    <s v="Recovery"/>
    <n v="200"/>
    <s v="AHY"/>
    <s v="F"/>
    <n v="1"/>
    <n v="2010"/>
    <n v="2009"/>
    <n v="5"/>
    <x v="0"/>
    <s v="5B"/>
    <x v="8"/>
    <n v="1"/>
    <n v="7"/>
    <x v="0"/>
    <x v="0"/>
  </r>
  <r>
    <n v="2814"/>
    <n v="103881349"/>
    <s v="Recovery"/>
    <n v="200"/>
    <s v="AHY"/>
    <s v="F"/>
    <n v="1"/>
    <n v="2009"/>
    <n v="2008"/>
    <n v="4"/>
    <x v="0"/>
    <s v="4B"/>
    <x v="6"/>
    <n v="1"/>
    <n v="7"/>
    <x v="0"/>
    <x v="0"/>
  </r>
  <r>
    <n v="2820"/>
    <n v="103881355"/>
    <s v="Recovery"/>
    <n v="200"/>
    <s v="AHY"/>
    <s v="F"/>
    <n v="1"/>
    <n v="2008"/>
    <n v="2007"/>
    <n v="3"/>
    <x v="0"/>
    <s v="3B"/>
    <x v="1"/>
    <n v="1"/>
    <n v="7"/>
    <x v="0"/>
    <x v="0"/>
  </r>
  <r>
    <n v="2824"/>
    <n v="103881359"/>
    <s v="Recovery"/>
    <n v="200"/>
    <s v="AHY"/>
    <s v="F"/>
    <n v="9"/>
    <n v="2008"/>
    <n v="2008"/>
    <n v="4"/>
    <x v="0"/>
    <s v="4B"/>
    <x v="6"/>
    <n v="1"/>
    <n v="7"/>
    <x v="0"/>
    <x v="0"/>
  </r>
  <r>
    <n v="2828"/>
    <n v="103881363"/>
    <s v="Recovery"/>
    <n v="200"/>
    <s v="AHY"/>
    <s v="M"/>
    <n v="1"/>
    <n v="2010"/>
    <n v="2009"/>
    <n v="5"/>
    <x v="0"/>
    <s v="5B"/>
    <x v="8"/>
    <n v="1"/>
    <n v="7"/>
    <x v="0"/>
    <x v="0"/>
  </r>
  <r>
    <n v="2829"/>
    <n v="103881364"/>
    <s v="Recovery"/>
    <n v="200"/>
    <s v="AHY"/>
    <s v="F"/>
    <n v="1"/>
    <n v="2010"/>
    <n v="2009"/>
    <n v="5"/>
    <x v="0"/>
    <s v="5B"/>
    <x v="8"/>
    <n v="1"/>
    <n v="7"/>
    <x v="0"/>
    <x v="0"/>
  </r>
  <r>
    <n v="2830"/>
    <n v="103881365"/>
    <s v="Recovery"/>
    <n v="200"/>
    <s v="AHY"/>
    <s v="F"/>
    <n v="1"/>
    <n v="2009"/>
    <n v="2008"/>
    <n v="4"/>
    <x v="0"/>
    <s v="4B"/>
    <x v="6"/>
    <n v="1"/>
    <n v="7"/>
    <x v="0"/>
    <x v="0"/>
  </r>
  <r>
    <n v="2833"/>
    <n v="103881368"/>
    <s v="Recovery"/>
    <n v="200"/>
    <s v="AHY"/>
    <s v="F"/>
    <n v="1"/>
    <n v="2010"/>
    <n v="2009"/>
    <n v="5"/>
    <x v="0"/>
    <s v="5B"/>
    <x v="8"/>
    <n v="1"/>
    <n v="7"/>
    <x v="0"/>
    <x v="0"/>
  </r>
  <r>
    <n v="2835"/>
    <n v="103881370"/>
    <s v="Recovery"/>
    <n v="200"/>
    <s v="AHY"/>
    <s v="F"/>
    <n v="1"/>
    <n v="2009"/>
    <n v="2008"/>
    <n v="4"/>
    <x v="0"/>
    <s v="4B"/>
    <x v="6"/>
    <n v="1"/>
    <n v="7"/>
    <x v="0"/>
    <x v="0"/>
  </r>
  <r>
    <n v="2836"/>
    <n v="103881371"/>
    <s v="Recovery"/>
    <n v="200"/>
    <s v="AHY"/>
    <s v="M"/>
    <n v="1"/>
    <n v="2008"/>
    <n v="2007"/>
    <n v="3"/>
    <x v="0"/>
    <s v="3B"/>
    <x v="1"/>
    <n v="1"/>
    <n v="7"/>
    <x v="0"/>
    <x v="0"/>
  </r>
  <r>
    <n v="2837"/>
    <n v="103881372"/>
    <s v="Recovery"/>
    <n v="200"/>
    <s v="AHY"/>
    <s v="F"/>
    <n v="9"/>
    <n v="2009"/>
    <n v="2009"/>
    <n v="5"/>
    <x v="0"/>
    <s v="5B"/>
    <x v="8"/>
    <n v="1"/>
    <n v="7"/>
    <x v="0"/>
    <x v="0"/>
  </r>
  <r>
    <n v="2840"/>
    <n v="103881375"/>
    <s v="Recovery"/>
    <n v="200"/>
    <s v="AHY"/>
    <s v="F"/>
    <n v="12"/>
    <n v="2012"/>
    <n v="2012"/>
    <n v="8"/>
    <x v="0"/>
    <s v="8B"/>
    <x v="3"/>
    <n v="1"/>
    <n v="7"/>
    <x v="0"/>
    <x v="0"/>
  </r>
  <r>
    <n v="2841"/>
    <n v="103881376"/>
    <s v="Recovery"/>
    <n v="200"/>
    <s v="AHY"/>
    <s v="F"/>
    <n v="1"/>
    <n v="2008"/>
    <n v="2007"/>
    <n v="3"/>
    <x v="0"/>
    <s v="3B"/>
    <x v="1"/>
    <n v="1"/>
    <n v="7"/>
    <x v="0"/>
    <x v="0"/>
  </r>
  <r>
    <n v="2842"/>
    <n v="103881377"/>
    <s v="Recovery"/>
    <n v="200"/>
    <s v="HY"/>
    <s v="M"/>
    <n v="1"/>
    <n v="2008"/>
    <n v="2007"/>
    <n v="3"/>
    <x v="0"/>
    <s v="3B"/>
    <x v="1"/>
    <n v="1"/>
    <n v="7"/>
    <x v="0"/>
    <x v="0"/>
  </r>
  <r>
    <n v="2843"/>
    <n v="103881378"/>
    <s v="Recovery"/>
    <n v="200"/>
    <s v="AHY"/>
    <s v="F"/>
    <n v="9"/>
    <n v="2007"/>
    <n v="2007"/>
    <n v="3"/>
    <x v="0"/>
    <s v="3B"/>
    <x v="1"/>
    <n v="1"/>
    <n v="7"/>
    <x v="0"/>
    <x v="0"/>
  </r>
  <r>
    <n v="2845"/>
    <n v="103881380"/>
    <s v="Recovery"/>
    <n v="200"/>
    <s v="AHY"/>
    <s v="M"/>
    <n v="9"/>
    <n v="2009"/>
    <n v="2009"/>
    <n v="5"/>
    <x v="0"/>
    <s v="5B"/>
    <x v="8"/>
    <n v="1"/>
    <n v="7"/>
    <x v="0"/>
    <x v="0"/>
  </r>
  <r>
    <n v="2847"/>
    <n v="103881382"/>
    <s v="Recovery"/>
    <n v="200"/>
    <s v="AHY"/>
    <s v="M"/>
    <n v="12"/>
    <n v="2010"/>
    <n v="2010"/>
    <n v="6"/>
    <x v="0"/>
    <s v="6B"/>
    <x v="2"/>
    <n v="1"/>
    <n v="7"/>
    <x v="0"/>
    <x v="0"/>
  </r>
  <r>
    <n v="2855"/>
    <n v="103881390"/>
    <s v="Recovery"/>
    <n v="200"/>
    <s v="AHY"/>
    <s v="M"/>
    <n v="9"/>
    <n v="2007"/>
    <n v="2007"/>
    <n v="3"/>
    <x v="0"/>
    <s v="3B"/>
    <x v="1"/>
    <n v="1"/>
    <n v="7"/>
    <x v="0"/>
    <x v="0"/>
  </r>
  <r>
    <n v="2865"/>
    <n v="103881400"/>
    <s v="Recovery"/>
    <n v="200"/>
    <s v="AHY"/>
    <s v="M"/>
    <n v="12"/>
    <n v="2009"/>
    <n v="2009"/>
    <n v="5"/>
    <x v="0"/>
    <s v="5B"/>
    <x v="8"/>
    <n v="1"/>
    <n v="7"/>
    <x v="0"/>
    <x v="0"/>
  </r>
  <r>
    <n v="2875"/>
    <n v="103881410"/>
    <s v="Recovery"/>
    <n v="200"/>
    <s v="AHY"/>
    <s v="F"/>
    <n v="10"/>
    <n v="2009"/>
    <n v="2009"/>
    <n v="5"/>
    <x v="0"/>
    <s v="5B"/>
    <x v="8"/>
    <n v="1"/>
    <n v="50"/>
    <x v="3"/>
    <x v="1"/>
  </r>
  <r>
    <n v="2877"/>
    <n v="103881412"/>
    <s v="Recovery"/>
    <n v="200"/>
    <s v="AHY"/>
    <s v="M"/>
    <n v="1"/>
    <n v="2011"/>
    <n v="2010"/>
    <n v="6"/>
    <x v="0"/>
    <s v="6B"/>
    <x v="2"/>
    <n v="1"/>
    <n v="7"/>
    <x v="0"/>
    <x v="0"/>
  </r>
  <r>
    <n v="2880"/>
    <n v="103881415"/>
    <s v="Recovery"/>
    <n v="200"/>
    <s v="AHY"/>
    <s v="M"/>
    <n v="1"/>
    <n v="2009"/>
    <n v="2008"/>
    <n v="4"/>
    <x v="0"/>
    <s v="4B"/>
    <x v="6"/>
    <n v="1"/>
    <n v="7"/>
    <x v="0"/>
    <x v="0"/>
  </r>
  <r>
    <n v="2882"/>
    <n v="103881417"/>
    <s v="Recovery"/>
    <n v="200"/>
    <s v="AHY"/>
    <s v="M"/>
    <n v="9"/>
    <n v="2007"/>
    <n v="2007"/>
    <n v="3"/>
    <x v="0"/>
    <s v="3B"/>
    <x v="1"/>
    <n v="1"/>
    <n v="7"/>
    <x v="0"/>
    <x v="0"/>
  </r>
  <r>
    <n v="2885"/>
    <n v="103881420"/>
    <s v="Recovery"/>
    <n v="200"/>
    <s v="AHY"/>
    <s v="M"/>
    <n v="1"/>
    <n v="2008"/>
    <n v="2007"/>
    <n v="3"/>
    <x v="0"/>
    <s v="3B"/>
    <x v="1"/>
    <n v="1"/>
    <n v="7"/>
    <x v="0"/>
    <x v="0"/>
  </r>
  <r>
    <n v="2890"/>
    <n v="103881425"/>
    <s v="Recovery"/>
    <n v="200"/>
    <s v="AHY"/>
    <s v="M"/>
    <n v="9"/>
    <n v="2010"/>
    <n v="2010"/>
    <n v="6"/>
    <x v="0"/>
    <s v="6B"/>
    <x v="2"/>
    <n v="1"/>
    <n v="7"/>
    <x v="0"/>
    <x v="0"/>
  </r>
  <r>
    <n v="2892"/>
    <n v="103881427"/>
    <s v="Recovery"/>
    <n v="200"/>
    <s v="HY"/>
    <s v="M"/>
    <n v="9"/>
    <n v="2007"/>
    <n v="2007"/>
    <n v="3"/>
    <x v="0"/>
    <s v="3B"/>
    <x v="1"/>
    <n v="1"/>
    <n v="7"/>
    <x v="0"/>
    <x v="0"/>
  </r>
  <r>
    <n v="2896"/>
    <n v="103881431"/>
    <s v="Recovery"/>
    <n v="200"/>
    <s v="HY"/>
    <s v="F"/>
    <n v="9"/>
    <n v="2007"/>
    <n v="2007"/>
    <n v="3"/>
    <x v="0"/>
    <s v="3B"/>
    <x v="1"/>
    <n v="1"/>
    <n v="7"/>
    <x v="0"/>
    <x v="0"/>
  </r>
  <r>
    <n v="2897"/>
    <n v="103881432"/>
    <s v="Recovery"/>
    <n v="200"/>
    <s v="HY"/>
    <s v="F"/>
    <n v="9"/>
    <n v="2007"/>
    <n v="2007"/>
    <n v="3"/>
    <x v="0"/>
    <s v="3B"/>
    <x v="1"/>
    <n v="1"/>
    <n v="7"/>
    <x v="0"/>
    <x v="0"/>
  </r>
  <r>
    <n v="2899"/>
    <n v="103881434"/>
    <s v="Recovery"/>
    <n v="200"/>
    <s v="HY"/>
    <s v="M"/>
    <n v="9"/>
    <n v="2007"/>
    <n v="2007"/>
    <n v="3"/>
    <x v="0"/>
    <s v="3B"/>
    <x v="1"/>
    <n v="1"/>
    <n v="7"/>
    <x v="0"/>
    <x v="0"/>
  </r>
  <r>
    <n v="2900"/>
    <n v="103881435"/>
    <s v="Recovery"/>
    <n v="200"/>
    <s v="AHY"/>
    <s v="F"/>
    <n v="2"/>
    <n v="2011"/>
    <n v="2010"/>
    <n v="6"/>
    <x v="0"/>
    <s v="6B"/>
    <x v="2"/>
    <n v="1"/>
    <n v="7"/>
    <x v="0"/>
    <x v="0"/>
  </r>
  <r>
    <n v="2903"/>
    <n v="103881438"/>
    <s v="Recovery"/>
    <n v="200"/>
    <s v="HY"/>
    <s v="M"/>
    <n v="9"/>
    <n v="2007"/>
    <n v="2007"/>
    <n v="3"/>
    <x v="0"/>
    <s v="3B"/>
    <x v="1"/>
    <n v="1"/>
    <n v="7"/>
    <x v="0"/>
    <x v="0"/>
  </r>
  <r>
    <n v="2913"/>
    <n v="103881448"/>
    <s v="Recovery"/>
    <n v="200"/>
    <s v="AHY"/>
    <s v="M"/>
    <n v="1"/>
    <n v="2009"/>
    <n v="2008"/>
    <n v="4"/>
    <x v="0"/>
    <s v="4B"/>
    <x v="6"/>
    <n v="1"/>
    <n v="7"/>
    <x v="0"/>
    <x v="0"/>
  </r>
  <r>
    <n v="2916"/>
    <n v="103881451"/>
    <s v="Recovery"/>
    <n v="200"/>
    <s v="AHY"/>
    <s v="M"/>
    <n v="1"/>
    <n v="2008"/>
    <n v="2007"/>
    <n v="3"/>
    <x v="0"/>
    <s v="3B"/>
    <x v="1"/>
    <n v="1"/>
    <n v="7"/>
    <x v="0"/>
    <x v="0"/>
  </r>
  <r>
    <n v="2919"/>
    <n v="103881454"/>
    <s v="Recovery"/>
    <n v="200"/>
    <s v="AHY"/>
    <s v="F"/>
    <n v="9"/>
    <n v="2007"/>
    <n v="2007"/>
    <n v="3"/>
    <x v="0"/>
    <s v="3B"/>
    <x v="1"/>
    <n v="1"/>
    <n v="7"/>
    <x v="0"/>
    <x v="0"/>
  </r>
  <r>
    <n v="2923"/>
    <n v="103881458"/>
    <s v="Recovery"/>
    <n v="200"/>
    <s v="AHY"/>
    <s v="M"/>
    <n v="12"/>
    <n v="2009"/>
    <n v="2009"/>
    <n v="5"/>
    <x v="0"/>
    <s v="5B"/>
    <x v="8"/>
    <n v="1"/>
    <n v="7"/>
    <x v="0"/>
    <x v="0"/>
  </r>
  <r>
    <n v="2927"/>
    <n v="103881462"/>
    <s v="Recovery"/>
    <n v="200"/>
    <s v="AHY"/>
    <s v="M"/>
    <n v="2"/>
    <n v="2008"/>
    <n v="2007"/>
    <n v="3"/>
    <x v="0"/>
    <s v="3B"/>
    <x v="1"/>
    <n v="1"/>
    <n v="7"/>
    <x v="0"/>
    <x v="0"/>
  </r>
  <r>
    <n v="2929"/>
    <n v="103881464"/>
    <s v="Recovery"/>
    <n v="200"/>
    <s v="AHY"/>
    <s v="F"/>
    <n v="12"/>
    <n v="2010"/>
    <n v="2010"/>
    <n v="6"/>
    <x v="0"/>
    <s v="6B"/>
    <x v="2"/>
    <n v="1"/>
    <n v="7"/>
    <x v="0"/>
    <x v="0"/>
  </r>
  <r>
    <n v="2932"/>
    <n v="103881467"/>
    <s v="Recovery"/>
    <n v="200"/>
    <s v="AHY"/>
    <s v="F"/>
    <n v="9"/>
    <n v="2007"/>
    <n v="2007"/>
    <n v="3"/>
    <x v="0"/>
    <s v="3B"/>
    <x v="1"/>
    <n v="1"/>
    <n v="7"/>
    <x v="0"/>
    <x v="0"/>
  </r>
  <r>
    <n v="2934"/>
    <n v="103881469"/>
    <s v="Recovery"/>
    <n v="200"/>
    <s v="AHY"/>
    <s v="M"/>
    <n v="2"/>
    <n v="2008"/>
    <n v="2007"/>
    <n v="3"/>
    <x v="0"/>
    <s v="3B"/>
    <x v="1"/>
    <n v="1"/>
    <n v="7"/>
    <x v="0"/>
    <x v="0"/>
  </r>
  <r>
    <n v="2946"/>
    <n v="103881481"/>
    <s v="Recovery"/>
    <n v="200"/>
    <s v="AHY"/>
    <s v="F"/>
    <n v="9"/>
    <n v="2008"/>
    <n v="2008"/>
    <n v="4"/>
    <x v="0"/>
    <s v="4B"/>
    <x v="6"/>
    <n v="1"/>
    <n v="7"/>
    <x v="0"/>
    <x v="0"/>
  </r>
  <r>
    <n v="2955"/>
    <n v="103881490"/>
    <s v="Recovery"/>
    <n v="200"/>
    <s v="AHY"/>
    <s v="M"/>
    <n v="1"/>
    <n v="2012"/>
    <n v="2011"/>
    <n v="7"/>
    <x v="0"/>
    <s v="7B"/>
    <x v="9"/>
    <n v="1"/>
    <n v="7"/>
    <x v="0"/>
    <x v="0"/>
  </r>
  <r>
    <n v="2964"/>
    <n v="103881499"/>
    <s v="Recovery"/>
    <n v="200"/>
    <s v="AHY"/>
    <s v="M"/>
    <n v="9"/>
    <n v="2010"/>
    <n v="2010"/>
    <n v="6"/>
    <x v="0"/>
    <s v="6B"/>
    <x v="2"/>
    <n v="1"/>
    <n v="7"/>
    <x v="0"/>
    <x v="0"/>
  </r>
  <r>
    <n v="2968"/>
    <n v="103881503"/>
    <s v="Recovery"/>
    <n v="200"/>
    <s v="HY"/>
    <s v="M"/>
    <n v="9"/>
    <n v="2007"/>
    <n v="2007"/>
    <n v="3"/>
    <x v="0"/>
    <s v="3B"/>
    <x v="1"/>
    <n v="1"/>
    <n v="7"/>
    <x v="0"/>
    <x v="0"/>
  </r>
  <r>
    <n v="2971"/>
    <n v="103881506"/>
    <s v="Recovery"/>
    <n v="200"/>
    <s v="AHY"/>
    <s v="F"/>
    <n v="9"/>
    <n v="2008"/>
    <n v="2008"/>
    <n v="4"/>
    <x v="0"/>
    <s v="4B"/>
    <x v="6"/>
    <n v="1"/>
    <n v="7"/>
    <x v="0"/>
    <x v="0"/>
  </r>
  <r>
    <n v="2972"/>
    <n v="103881507"/>
    <s v="Recovery"/>
    <n v="200"/>
    <s v="AHY"/>
    <s v="M"/>
    <n v="9"/>
    <n v="2007"/>
    <n v="2007"/>
    <n v="3"/>
    <x v="0"/>
    <s v="3B"/>
    <x v="1"/>
    <n v="1"/>
    <n v="7"/>
    <x v="0"/>
    <x v="0"/>
  </r>
  <r>
    <n v="2973"/>
    <n v="103881508"/>
    <s v="Recovery"/>
    <n v="200"/>
    <s v="AHY"/>
    <s v="M"/>
    <n v="9"/>
    <n v="2007"/>
    <n v="2007"/>
    <n v="3"/>
    <x v="0"/>
    <s v="3B"/>
    <x v="1"/>
    <n v="1"/>
    <n v="7"/>
    <x v="0"/>
    <x v="0"/>
  </r>
  <r>
    <n v="2979"/>
    <n v="103881514"/>
    <s v="Recovery"/>
    <n v="200"/>
    <s v="AHY"/>
    <s v="M"/>
    <n v="1"/>
    <n v="2013"/>
    <n v="2012"/>
    <n v="8"/>
    <x v="0"/>
    <s v="8B"/>
    <x v="3"/>
    <n v="1"/>
    <n v="7"/>
    <x v="0"/>
    <x v="0"/>
  </r>
  <r>
    <n v="2980"/>
    <n v="103881515"/>
    <s v="Recovery"/>
    <n v="200"/>
    <s v="AHY"/>
    <s v="F"/>
    <n v="9"/>
    <n v="2007"/>
    <n v="2007"/>
    <n v="3"/>
    <x v="0"/>
    <s v="3B"/>
    <x v="1"/>
    <n v="1"/>
    <n v="7"/>
    <x v="0"/>
    <x v="0"/>
  </r>
  <r>
    <n v="2990"/>
    <n v="103881525"/>
    <s v="Recovery"/>
    <n v="200"/>
    <s v="AHY"/>
    <s v="M"/>
    <n v="9"/>
    <n v="2012"/>
    <n v="2012"/>
    <n v="8"/>
    <x v="0"/>
    <s v="8B"/>
    <x v="3"/>
    <n v="1"/>
    <n v="7"/>
    <x v="0"/>
    <x v="0"/>
  </r>
  <r>
    <n v="2993"/>
    <n v="103881528"/>
    <s v="Recovery"/>
    <n v="200"/>
    <s v="AHY"/>
    <s v="F"/>
    <n v="1"/>
    <n v="2008"/>
    <n v="2007"/>
    <n v="3"/>
    <x v="0"/>
    <s v="3B"/>
    <x v="1"/>
    <n v="1"/>
    <n v="7"/>
    <x v="0"/>
    <x v="0"/>
  </r>
  <r>
    <n v="2994"/>
    <n v="103881529"/>
    <s v="Recovery"/>
    <n v="200"/>
    <s v="AHY"/>
    <s v="M"/>
    <n v="11"/>
    <n v="2019"/>
    <n v="2019"/>
    <n v="15"/>
    <x v="0"/>
    <s v="15B"/>
    <x v="11"/>
    <n v="1"/>
    <n v="7"/>
    <x v="0"/>
    <x v="0"/>
  </r>
  <r>
    <n v="2998"/>
    <n v="103881533"/>
    <s v="Recovery"/>
    <n v="200"/>
    <s v="AHY"/>
    <s v="M"/>
    <n v="1"/>
    <n v="2008"/>
    <n v="2007"/>
    <n v="3"/>
    <x v="0"/>
    <s v="3B"/>
    <x v="1"/>
    <n v="1"/>
    <n v="7"/>
    <x v="0"/>
    <x v="0"/>
  </r>
  <r>
    <n v="2999"/>
    <n v="103881534"/>
    <s v="Recovery"/>
    <n v="200"/>
    <s v="AHY"/>
    <s v="F"/>
    <n v="12"/>
    <n v="2008"/>
    <n v="2008"/>
    <n v="4"/>
    <x v="0"/>
    <s v="4B"/>
    <x v="6"/>
    <n v="1"/>
    <n v="7"/>
    <x v="0"/>
    <x v="0"/>
  </r>
  <r>
    <n v="3006"/>
    <n v="103881541"/>
    <s v="Recovery"/>
    <n v="200"/>
    <s v="AHY"/>
    <s v="M"/>
    <n v="9"/>
    <n v="2008"/>
    <n v="2008"/>
    <n v="4"/>
    <x v="0"/>
    <s v="4B"/>
    <x v="6"/>
    <n v="1"/>
    <n v="7"/>
    <x v="0"/>
    <x v="0"/>
  </r>
  <r>
    <n v="3007"/>
    <n v="103881542"/>
    <s v="Recovery"/>
    <n v="200"/>
    <s v="AHY"/>
    <s v="F"/>
    <n v="9"/>
    <n v="2007"/>
    <n v="2007"/>
    <n v="3"/>
    <x v="0"/>
    <s v="3B"/>
    <x v="1"/>
    <n v="1"/>
    <n v="7"/>
    <x v="0"/>
    <x v="0"/>
  </r>
  <r>
    <n v="3009"/>
    <n v="103881544"/>
    <s v="Recovery"/>
    <n v="200"/>
    <s v="AHY"/>
    <s v="F"/>
    <n v="9"/>
    <n v="2010"/>
    <n v="2010"/>
    <n v="6"/>
    <x v="0"/>
    <s v="6B"/>
    <x v="2"/>
    <n v="1"/>
    <n v="7"/>
    <x v="0"/>
    <x v="0"/>
  </r>
  <r>
    <n v="3010"/>
    <n v="103881545"/>
    <s v="Recovery"/>
    <n v="200"/>
    <s v="AHY"/>
    <s v="M"/>
    <n v="1"/>
    <n v="2012"/>
    <n v="2011"/>
    <n v="7"/>
    <x v="0"/>
    <s v="7B"/>
    <x v="9"/>
    <n v="1"/>
    <n v="7"/>
    <x v="0"/>
    <x v="0"/>
  </r>
  <r>
    <n v="3012"/>
    <n v="103881547"/>
    <s v="Recovery"/>
    <n v="200"/>
    <s v="AHY"/>
    <s v="F"/>
    <n v="9"/>
    <n v="2007"/>
    <n v="2007"/>
    <n v="3"/>
    <x v="0"/>
    <s v="3B"/>
    <x v="1"/>
    <n v="1"/>
    <n v="7"/>
    <x v="0"/>
    <x v="0"/>
  </r>
  <r>
    <n v="3013"/>
    <n v="103881548"/>
    <s v="Recovery"/>
    <n v="200"/>
    <s v="AHY"/>
    <s v="M"/>
    <n v="9"/>
    <n v="2007"/>
    <n v="2007"/>
    <n v="3"/>
    <x v="0"/>
    <s v="3B"/>
    <x v="1"/>
    <n v="1"/>
    <n v="7"/>
    <x v="0"/>
    <x v="0"/>
  </r>
  <r>
    <n v="3015"/>
    <n v="103881550"/>
    <s v="Recovery"/>
    <n v="200"/>
    <s v="AHY"/>
    <s v="F"/>
    <n v="1"/>
    <n v="2008"/>
    <n v="2007"/>
    <n v="3"/>
    <x v="0"/>
    <s v="3B"/>
    <x v="1"/>
    <n v="1"/>
    <n v="7"/>
    <x v="0"/>
    <x v="0"/>
  </r>
  <r>
    <n v="3016"/>
    <n v="103881551"/>
    <s v="Recovery"/>
    <n v="200"/>
    <s v="AHY"/>
    <s v="F"/>
    <n v="9"/>
    <n v="2008"/>
    <n v="2008"/>
    <n v="4"/>
    <x v="0"/>
    <s v="4B"/>
    <x v="6"/>
    <n v="1"/>
    <n v="7"/>
    <x v="0"/>
    <x v="0"/>
  </r>
  <r>
    <n v="3022"/>
    <n v="103881557"/>
    <s v="Recovery"/>
    <n v="200"/>
    <s v="AHY"/>
    <s v="F"/>
    <n v="1"/>
    <n v="2009"/>
    <n v="2008"/>
    <n v="4"/>
    <x v="0"/>
    <s v="4B"/>
    <x v="6"/>
    <n v="1"/>
    <n v="7"/>
    <x v="0"/>
    <x v="0"/>
  </r>
  <r>
    <n v="3028"/>
    <n v="103881563"/>
    <s v="Recovery"/>
    <n v="200"/>
    <s v="AHY"/>
    <s v="F"/>
    <n v="12"/>
    <n v="2013"/>
    <n v="2013"/>
    <n v="9"/>
    <x v="0"/>
    <s v="9B"/>
    <x v="4"/>
    <n v="1"/>
    <n v="7"/>
    <x v="0"/>
    <x v="0"/>
  </r>
  <r>
    <n v="3032"/>
    <n v="103881567"/>
    <s v="Recovery"/>
    <n v="200"/>
    <s v="AHY"/>
    <s v="M"/>
    <n v="12"/>
    <n v="2007"/>
    <n v="2007"/>
    <n v="3"/>
    <x v="0"/>
    <s v="3B"/>
    <x v="1"/>
    <n v="1"/>
    <n v="7"/>
    <x v="0"/>
    <x v="0"/>
  </r>
  <r>
    <n v="3040"/>
    <n v="103881575"/>
    <s v="Recovery"/>
    <n v="200"/>
    <s v="AHY"/>
    <s v="M"/>
    <n v="1"/>
    <n v="2008"/>
    <n v="2007"/>
    <n v="3"/>
    <x v="0"/>
    <s v="3B"/>
    <x v="1"/>
    <n v="1"/>
    <n v="7"/>
    <x v="0"/>
    <x v="0"/>
  </r>
  <r>
    <n v="3042"/>
    <n v="103881577"/>
    <s v="Recovery"/>
    <n v="200"/>
    <s v="AHY"/>
    <s v="M"/>
    <n v="9"/>
    <n v="2007"/>
    <n v="2007"/>
    <n v="3"/>
    <x v="0"/>
    <s v="3B"/>
    <x v="1"/>
    <n v="1"/>
    <n v="7"/>
    <x v="0"/>
    <x v="0"/>
  </r>
  <r>
    <n v="3045"/>
    <n v="103881580"/>
    <s v="Recovery"/>
    <n v="200"/>
    <s v="AHY"/>
    <s v="F"/>
    <n v="1"/>
    <n v="2013"/>
    <n v="2012"/>
    <n v="8"/>
    <x v="0"/>
    <s v="8B"/>
    <x v="3"/>
    <n v="1"/>
    <n v="7"/>
    <x v="0"/>
    <x v="0"/>
  </r>
  <r>
    <n v="3047"/>
    <n v="103881582"/>
    <s v="Recovery"/>
    <n v="200"/>
    <s v="AHY"/>
    <s v="M"/>
    <n v="9"/>
    <n v="2012"/>
    <n v="2012"/>
    <n v="8"/>
    <x v="0"/>
    <s v="8B"/>
    <x v="3"/>
    <n v="1"/>
    <n v="7"/>
    <x v="0"/>
    <x v="0"/>
  </r>
  <r>
    <n v="3049"/>
    <n v="103881584"/>
    <s v="Recovery"/>
    <n v="200"/>
    <s v="AHY"/>
    <s v="F"/>
    <n v="1"/>
    <n v="2015"/>
    <n v="2014"/>
    <n v="10"/>
    <x v="0"/>
    <s v="10B"/>
    <x v="7"/>
    <n v="1"/>
    <n v="7"/>
    <x v="0"/>
    <x v="0"/>
  </r>
  <r>
    <n v="3052"/>
    <n v="103881587"/>
    <s v="Recovery"/>
    <n v="200"/>
    <s v="AHY"/>
    <s v="M"/>
    <n v="1"/>
    <n v="2010"/>
    <n v="2009"/>
    <n v="5"/>
    <x v="0"/>
    <s v="5B"/>
    <x v="8"/>
    <n v="1"/>
    <n v="7"/>
    <x v="0"/>
    <x v="0"/>
  </r>
  <r>
    <n v="3053"/>
    <n v="103881588"/>
    <s v="Recovery"/>
    <n v="200"/>
    <s v="AHY"/>
    <s v="F"/>
    <n v="9"/>
    <n v="2008"/>
    <n v="2008"/>
    <n v="4"/>
    <x v="0"/>
    <s v="4B"/>
    <x v="6"/>
    <n v="1"/>
    <n v="7"/>
    <x v="0"/>
    <x v="0"/>
  </r>
  <r>
    <n v="3054"/>
    <n v="103881589"/>
    <s v="Recovery"/>
    <n v="200"/>
    <s v="AHY"/>
    <s v="M"/>
    <n v="9"/>
    <n v="2009"/>
    <n v="2009"/>
    <n v="5"/>
    <x v="0"/>
    <s v="5B"/>
    <x v="8"/>
    <n v="1"/>
    <n v="7"/>
    <x v="0"/>
    <x v="0"/>
  </r>
  <r>
    <n v="3056"/>
    <n v="103881591"/>
    <s v="Recovery"/>
    <n v="200"/>
    <s v="AHY"/>
    <s v="M"/>
    <n v="9"/>
    <n v="2007"/>
    <n v="2007"/>
    <n v="3"/>
    <x v="0"/>
    <s v="3B"/>
    <x v="1"/>
    <n v="1"/>
    <n v="7"/>
    <x v="0"/>
    <x v="0"/>
  </r>
  <r>
    <n v="3058"/>
    <n v="103881593"/>
    <s v="Recovery"/>
    <n v="200"/>
    <s v="AHY"/>
    <s v="F"/>
    <n v="9"/>
    <n v="2007"/>
    <n v="2007"/>
    <n v="3"/>
    <x v="0"/>
    <s v="3B"/>
    <x v="1"/>
    <n v="1"/>
    <n v="7"/>
    <x v="0"/>
    <x v="0"/>
  </r>
  <r>
    <n v="3061"/>
    <n v="103881596"/>
    <s v="Recovery"/>
    <n v="200"/>
    <s v="AHY"/>
    <s v="F"/>
    <n v="1"/>
    <n v="2009"/>
    <n v="2008"/>
    <n v="4"/>
    <x v="0"/>
    <s v="4B"/>
    <x v="6"/>
    <n v="1"/>
    <n v="7"/>
    <x v="0"/>
    <x v="0"/>
  </r>
  <r>
    <n v="3067"/>
    <n v="103881602"/>
    <s v="Recovery"/>
    <n v="200"/>
    <s v="AHY"/>
    <s v="M"/>
    <n v="1"/>
    <n v="2009"/>
    <n v="2008"/>
    <n v="4"/>
    <x v="0"/>
    <s v="4B"/>
    <x v="6"/>
    <n v="1"/>
    <n v="7"/>
    <x v="0"/>
    <x v="0"/>
  </r>
  <r>
    <n v="3068"/>
    <n v="103881603"/>
    <s v="Recovery"/>
    <n v="200"/>
    <s v="AHY"/>
    <s v="F"/>
    <n v="9"/>
    <n v="2008"/>
    <n v="2008"/>
    <n v="4"/>
    <x v="0"/>
    <s v="4B"/>
    <x v="6"/>
    <n v="1"/>
    <n v="7"/>
    <x v="0"/>
    <x v="0"/>
  </r>
  <r>
    <n v="3073"/>
    <n v="103881608"/>
    <s v="Recovery"/>
    <n v="200"/>
    <s v="AHY"/>
    <s v="F"/>
    <n v="12"/>
    <n v="2009"/>
    <n v="2009"/>
    <n v="5"/>
    <x v="0"/>
    <s v="5B"/>
    <x v="8"/>
    <n v="1"/>
    <n v="7"/>
    <x v="0"/>
    <x v="0"/>
  </r>
  <r>
    <n v="3075"/>
    <n v="103881610"/>
    <s v="Recovery"/>
    <n v="200"/>
    <s v="AHY"/>
    <s v="F"/>
    <n v="12"/>
    <n v="2019"/>
    <n v="2019"/>
    <n v="15"/>
    <x v="0"/>
    <s v="15B"/>
    <x v="11"/>
    <n v="1"/>
    <n v="7"/>
    <x v="0"/>
    <x v="0"/>
  </r>
  <r>
    <n v="3081"/>
    <n v="103881616"/>
    <s v="Recovery"/>
    <n v="200"/>
    <s v="AHY"/>
    <s v="M"/>
    <n v="12"/>
    <n v="2009"/>
    <n v="2009"/>
    <n v="5"/>
    <x v="0"/>
    <s v="5B"/>
    <x v="8"/>
    <n v="1"/>
    <n v="7"/>
    <x v="0"/>
    <x v="0"/>
  </r>
  <r>
    <n v="3084"/>
    <n v="103881619"/>
    <s v="Recovery"/>
    <n v="200"/>
    <s v="AHY"/>
    <s v="F"/>
    <n v="12"/>
    <n v="2009"/>
    <n v="2009"/>
    <n v="5"/>
    <x v="0"/>
    <s v="5B"/>
    <x v="8"/>
    <n v="1"/>
    <n v="7"/>
    <x v="0"/>
    <x v="0"/>
  </r>
  <r>
    <n v="3085"/>
    <n v="103881620"/>
    <s v="Recovery"/>
    <n v="200"/>
    <s v="AHY"/>
    <s v="F"/>
    <n v="9"/>
    <n v="2007"/>
    <n v="2007"/>
    <n v="3"/>
    <x v="0"/>
    <s v="3B"/>
    <x v="1"/>
    <n v="1"/>
    <n v="7"/>
    <x v="0"/>
    <x v="0"/>
  </r>
  <r>
    <n v="3089"/>
    <n v="103881624"/>
    <s v="Recovery"/>
    <n v="200"/>
    <s v="AHY"/>
    <s v="F"/>
    <n v="1"/>
    <n v="2017"/>
    <n v="2016"/>
    <n v="12"/>
    <x v="0"/>
    <s v="12B"/>
    <x v="12"/>
    <n v="1"/>
    <n v="7"/>
    <x v="0"/>
    <x v="0"/>
  </r>
  <r>
    <n v="3092"/>
    <n v="103881627"/>
    <s v="Recovery"/>
    <n v="200"/>
    <s v="HY"/>
    <s v="M"/>
    <n v="1"/>
    <n v="2008"/>
    <n v="2007"/>
    <n v="3"/>
    <x v="0"/>
    <s v="3B"/>
    <x v="1"/>
    <n v="1"/>
    <n v="7"/>
    <x v="0"/>
    <x v="0"/>
  </r>
  <r>
    <n v="3096"/>
    <n v="103881631"/>
    <s v="Recovery"/>
    <n v="200"/>
    <s v="AHY"/>
    <s v="M"/>
    <n v="12"/>
    <n v="2008"/>
    <n v="2008"/>
    <n v="4"/>
    <x v="0"/>
    <s v="4B"/>
    <x v="6"/>
    <n v="1"/>
    <n v="7"/>
    <x v="0"/>
    <x v="0"/>
  </r>
  <r>
    <n v="3097"/>
    <n v="103881632"/>
    <s v="Recovery"/>
    <n v="200"/>
    <s v="AHY"/>
    <s v="M"/>
    <n v="1"/>
    <n v="2008"/>
    <n v="2007"/>
    <n v="3"/>
    <x v="0"/>
    <s v="3B"/>
    <x v="1"/>
    <n v="1"/>
    <n v="7"/>
    <x v="0"/>
    <x v="0"/>
  </r>
  <r>
    <n v="3099"/>
    <n v="103881634"/>
    <s v="Recovery"/>
    <n v="200"/>
    <s v="AHY"/>
    <s v="M"/>
    <n v="9"/>
    <n v="2013"/>
    <n v="2013"/>
    <n v="9"/>
    <x v="0"/>
    <s v="9B"/>
    <x v="4"/>
    <n v="1"/>
    <n v="7"/>
    <x v="0"/>
    <x v="0"/>
  </r>
  <r>
    <n v="3106"/>
    <n v="103881641"/>
    <s v="Recovery"/>
    <n v="200"/>
    <s v="AHY"/>
    <s v="F"/>
    <n v="2"/>
    <n v="2008"/>
    <n v="2007"/>
    <n v="3"/>
    <x v="0"/>
    <s v="3B"/>
    <x v="1"/>
    <n v="1"/>
    <n v="7"/>
    <x v="0"/>
    <x v="0"/>
  </r>
  <r>
    <n v="3107"/>
    <n v="103881642"/>
    <s v="Recovery"/>
    <n v="200"/>
    <s v="AHY"/>
    <s v="M"/>
    <n v="1"/>
    <n v="2010"/>
    <n v="2009"/>
    <n v="5"/>
    <x v="0"/>
    <s v="5B"/>
    <x v="8"/>
    <n v="1"/>
    <n v="7"/>
    <x v="0"/>
    <x v="0"/>
  </r>
  <r>
    <n v="3108"/>
    <n v="103881643"/>
    <s v="Recovery"/>
    <n v="200"/>
    <s v="AHY"/>
    <s v="F"/>
    <n v="12"/>
    <n v="2009"/>
    <n v="2009"/>
    <n v="5"/>
    <x v="0"/>
    <s v="5B"/>
    <x v="8"/>
    <n v="1"/>
    <n v="7"/>
    <x v="0"/>
    <x v="0"/>
  </r>
  <r>
    <n v="3109"/>
    <n v="103881644"/>
    <s v="Recovery"/>
    <n v="200"/>
    <s v="AHY"/>
    <s v="F"/>
    <n v="9"/>
    <n v="2008"/>
    <n v="2008"/>
    <n v="4"/>
    <x v="0"/>
    <s v="4B"/>
    <x v="6"/>
    <n v="1"/>
    <n v="7"/>
    <x v="0"/>
    <x v="0"/>
  </r>
  <r>
    <n v="3112"/>
    <n v="103881647"/>
    <s v="Recovery"/>
    <n v="200"/>
    <s v="AHY"/>
    <s v="M"/>
    <n v="1"/>
    <n v="2008"/>
    <n v="2007"/>
    <n v="3"/>
    <x v="0"/>
    <s v="3B"/>
    <x v="1"/>
    <n v="1"/>
    <n v="7"/>
    <x v="0"/>
    <x v="0"/>
  </r>
  <r>
    <n v="3113"/>
    <n v="103881648"/>
    <s v="Recovery"/>
    <n v="200"/>
    <s v="AHY"/>
    <s v="M"/>
    <n v="1"/>
    <n v="2008"/>
    <n v="2007"/>
    <n v="3"/>
    <x v="0"/>
    <s v="3B"/>
    <x v="1"/>
    <n v="1"/>
    <n v="7"/>
    <x v="0"/>
    <x v="0"/>
  </r>
  <r>
    <n v="3114"/>
    <n v="103881649"/>
    <s v="Recovery"/>
    <n v="200"/>
    <s v="AHY"/>
    <s v="M"/>
    <n v="2"/>
    <n v="2016"/>
    <n v="2015"/>
    <n v="11"/>
    <x v="0"/>
    <s v="11B"/>
    <x v="14"/>
    <n v="1"/>
    <n v="7"/>
    <x v="0"/>
    <x v="0"/>
  </r>
  <r>
    <n v="3118"/>
    <n v="103881653"/>
    <s v="Recovery"/>
    <n v="200"/>
    <s v="AHY"/>
    <s v="M"/>
    <n v="9"/>
    <n v="2007"/>
    <n v="2007"/>
    <n v="3"/>
    <x v="0"/>
    <s v="3B"/>
    <x v="1"/>
    <n v="1"/>
    <n v="7"/>
    <x v="0"/>
    <x v="0"/>
  </r>
  <r>
    <n v="3121"/>
    <n v="103881656"/>
    <s v="Recovery"/>
    <n v="200"/>
    <s v="AHY"/>
    <s v="M"/>
    <n v="1"/>
    <n v="2010"/>
    <n v="2009"/>
    <n v="5"/>
    <x v="0"/>
    <s v="5B"/>
    <x v="8"/>
    <n v="1"/>
    <n v="7"/>
    <x v="0"/>
    <x v="0"/>
  </r>
  <r>
    <n v="3125"/>
    <n v="103881660"/>
    <s v="Recovery"/>
    <n v="200"/>
    <s v="AHY"/>
    <s v="F"/>
    <n v="1"/>
    <n v="2010"/>
    <n v="2009"/>
    <n v="5"/>
    <x v="0"/>
    <s v="5B"/>
    <x v="8"/>
    <n v="1"/>
    <n v="7"/>
    <x v="0"/>
    <x v="0"/>
  </r>
  <r>
    <n v="3140"/>
    <n v="103881675"/>
    <s v="Recovery"/>
    <n v="200"/>
    <s v="AHY"/>
    <s v="F"/>
    <n v="9"/>
    <n v="2007"/>
    <n v="2007"/>
    <n v="3"/>
    <x v="0"/>
    <s v="3B"/>
    <x v="1"/>
    <n v="1"/>
    <n v="7"/>
    <x v="0"/>
    <x v="0"/>
  </r>
  <r>
    <n v="3141"/>
    <n v="103881676"/>
    <s v="Recovery"/>
    <n v="200"/>
    <s v="AHY"/>
    <s v="M"/>
    <n v="10"/>
    <n v="2007"/>
    <n v="2007"/>
    <n v="3"/>
    <x v="0"/>
    <s v="3B"/>
    <x v="1"/>
    <n v="1"/>
    <n v="7"/>
    <x v="0"/>
    <x v="0"/>
  </r>
  <r>
    <n v="3143"/>
    <n v="103881678"/>
    <s v="Recovery"/>
    <n v="200"/>
    <s v="AHY"/>
    <s v="F"/>
    <n v="9"/>
    <n v="2015"/>
    <n v="2015"/>
    <n v="11"/>
    <x v="0"/>
    <s v="11B"/>
    <x v="14"/>
    <n v="1"/>
    <n v="7"/>
    <x v="0"/>
    <x v="0"/>
  </r>
  <r>
    <n v="3144"/>
    <n v="103881679"/>
    <s v="Recovery"/>
    <n v="200"/>
    <s v="AHY"/>
    <s v="M"/>
    <n v="12"/>
    <n v="2009"/>
    <n v="2009"/>
    <n v="5"/>
    <x v="0"/>
    <s v="5B"/>
    <x v="8"/>
    <n v="1"/>
    <n v="7"/>
    <x v="0"/>
    <x v="0"/>
  </r>
  <r>
    <n v="3151"/>
    <n v="103881686"/>
    <s v="Recovery"/>
    <n v="200"/>
    <s v="HY"/>
    <s v="M"/>
    <n v="9"/>
    <n v="2007"/>
    <n v="2007"/>
    <n v="3"/>
    <x v="0"/>
    <s v="3B"/>
    <x v="1"/>
    <n v="1"/>
    <n v="7"/>
    <x v="0"/>
    <x v="0"/>
  </r>
  <r>
    <n v="3153"/>
    <n v="103881688"/>
    <s v="Recovery"/>
    <n v="200"/>
    <s v="AHY"/>
    <s v="F"/>
    <n v="1"/>
    <n v="2009"/>
    <n v="2008"/>
    <n v="4"/>
    <x v="0"/>
    <s v="4B"/>
    <x v="6"/>
    <n v="1"/>
    <n v="7"/>
    <x v="0"/>
    <x v="0"/>
  </r>
  <r>
    <n v="3158"/>
    <n v="103881693"/>
    <s v="Recovery"/>
    <n v="200"/>
    <s v="AHY"/>
    <s v="M"/>
    <n v="9"/>
    <n v="2007"/>
    <n v="2007"/>
    <n v="3"/>
    <x v="0"/>
    <s v="3B"/>
    <x v="1"/>
    <n v="1"/>
    <n v="7"/>
    <x v="0"/>
    <x v="0"/>
  </r>
  <r>
    <n v="3160"/>
    <n v="103881695"/>
    <s v="Recovery"/>
    <n v="200"/>
    <s v="AHY"/>
    <s v="F"/>
    <n v="12"/>
    <n v="2008"/>
    <n v="2008"/>
    <n v="4"/>
    <x v="0"/>
    <s v="4B"/>
    <x v="6"/>
    <n v="1"/>
    <n v="7"/>
    <x v="0"/>
    <x v="0"/>
  </r>
  <r>
    <n v="3161"/>
    <n v="103881696"/>
    <s v="Recovery"/>
    <n v="200"/>
    <s v="AHY"/>
    <s v="M"/>
    <n v="12"/>
    <n v="2007"/>
    <n v="2007"/>
    <n v="3"/>
    <x v="0"/>
    <s v="3B"/>
    <x v="1"/>
    <n v="1"/>
    <n v="7"/>
    <x v="0"/>
    <x v="0"/>
  </r>
  <r>
    <n v="3163"/>
    <n v="103881698"/>
    <s v="Recovery"/>
    <n v="200"/>
    <s v="AHY"/>
    <s v="M"/>
    <n v="9"/>
    <n v="2012"/>
    <n v="2012"/>
    <n v="8"/>
    <x v="0"/>
    <s v="8B"/>
    <x v="3"/>
    <n v="1"/>
    <n v="7"/>
    <x v="0"/>
    <x v="0"/>
  </r>
  <r>
    <n v="3166"/>
    <n v="103881701"/>
    <s v="Recovery"/>
    <n v="200"/>
    <s v="AHY"/>
    <s v="F"/>
    <n v="9"/>
    <n v="2008"/>
    <n v="2008"/>
    <n v="4"/>
    <x v="0"/>
    <s v="4B"/>
    <x v="6"/>
    <n v="1"/>
    <n v="7"/>
    <x v="0"/>
    <x v="0"/>
  </r>
  <r>
    <n v="3168"/>
    <n v="103881703"/>
    <s v="Recovery"/>
    <n v="200"/>
    <s v="AHY"/>
    <s v="F"/>
    <n v="9"/>
    <n v="2008"/>
    <n v="2008"/>
    <n v="4"/>
    <x v="0"/>
    <s v="4B"/>
    <x v="6"/>
    <n v="1"/>
    <n v="7"/>
    <x v="0"/>
    <x v="0"/>
  </r>
  <r>
    <n v="3171"/>
    <n v="103881706"/>
    <s v="Recovery"/>
    <n v="200"/>
    <s v="AHY"/>
    <s v="M"/>
    <n v="1"/>
    <n v="2008"/>
    <n v="2007"/>
    <n v="3"/>
    <x v="0"/>
    <s v="3B"/>
    <x v="1"/>
    <n v="1"/>
    <n v="7"/>
    <x v="0"/>
    <x v="0"/>
  </r>
  <r>
    <n v="3181"/>
    <n v="103881716"/>
    <s v="Recovery"/>
    <n v="200"/>
    <s v="AHY"/>
    <s v="M"/>
    <n v="1"/>
    <n v="2009"/>
    <n v="2008"/>
    <n v="4"/>
    <x v="0"/>
    <s v="4B"/>
    <x v="6"/>
    <n v="1"/>
    <n v="7"/>
    <x v="0"/>
    <x v="0"/>
  </r>
  <r>
    <n v="3184"/>
    <n v="103881719"/>
    <s v="Recovery"/>
    <n v="200"/>
    <s v="AHY"/>
    <s v="F"/>
    <n v="9"/>
    <n v="2012"/>
    <n v="2012"/>
    <n v="8"/>
    <x v="0"/>
    <s v="8B"/>
    <x v="3"/>
    <n v="1"/>
    <n v="7"/>
    <x v="0"/>
    <x v="0"/>
  </r>
  <r>
    <n v="3187"/>
    <n v="103881722"/>
    <s v="Recovery"/>
    <n v="200"/>
    <s v="AHY"/>
    <s v="M"/>
    <n v="1"/>
    <n v="2013"/>
    <n v="2012"/>
    <n v="8"/>
    <x v="0"/>
    <s v="8B"/>
    <x v="3"/>
    <n v="1"/>
    <n v="7"/>
    <x v="0"/>
    <x v="0"/>
  </r>
  <r>
    <n v="3191"/>
    <n v="103881726"/>
    <s v="Recovery"/>
    <n v="200"/>
    <s v="AHY"/>
    <s v="F"/>
    <n v="12"/>
    <n v="2013"/>
    <n v="2013"/>
    <n v="9"/>
    <x v="0"/>
    <s v="9B"/>
    <x v="4"/>
    <n v="1"/>
    <n v="67"/>
    <x v="2"/>
    <x v="1"/>
  </r>
  <r>
    <n v="3194"/>
    <n v="103881729"/>
    <s v="Recovery"/>
    <n v="200"/>
    <s v="AHY"/>
    <s v="F"/>
    <n v="1"/>
    <n v="2012"/>
    <n v="2011"/>
    <n v="7"/>
    <x v="0"/>
    <s v="7B"/>
    <x v="9"/>
    <n v="1"/>
    <n v="7"/>
    <x v="0"/>
    <x v="0"/>
  </r>
  <r>
    <n v="3204"/>
    <n v="103881739"/>
    <s v="Recovery"/>
    <n v="200"/>
    <s v="AHY"/>
    <s v="F"/>
    <n v="10"/>
    <n v="2009"/>
    <n v="2009"/>
    <n v="5"/>
    <x v="0"/>
    <s v="5B"/>
    <x v="8"/>
    <n v="1"/>
    <n v="50"/>
    <x v="3"/>
    <x v="1"/>
  </r>
  <r>
    <n v="3210"/>
    <n v="103881745"/>
    <s v="Recovery"/>
    <n v="200"/>
    <s v="HY"/>
    <s v="F"/>
    <n v="12"/>
    <n v="2007"/>
    <n v="2007"/>
    <n v="3"/>
    <x v="0"/>
    <s v="3B"/>
    <x v="1"/>
    <n v="1"/>
    <n v="7"/>
    <x v="0"/>
    <x v="0"/>
  </r>
  <r>
    <n v="3218"/>
    <n v="103881753"/>
    <s v="Recovery"/>
    <n v="200"/>
    <s v="AHY"/>
    <s v="M"/>
    <n v="12"/>
    <n v="2015"/>
    <n v="2015"/>
    <n v="11"/>
    <x v="0"/>
    <s v="11B"/>
    <x v="14"/>
    <n v="1"/>
    <n v="7"/>
    <x v="0"/>
    <x v="0"/>
  </r>
  <r>
    <n v="3219"/>
    <n v="103881754"/>
    <s v="Recovery"/>
    <n v="200"/>
    <s v="AHY"/>
    <s v="F"/>
    <n v="1"/>
    <n v="2009"/>
    <n v="2008"/>
    <n v="4"/>
    <x v="0"/>
    <s v="4B"/>
    <x v="6"/>
    <n v="1"/>
    <n v="7"/>
    <x v="0"/>
    <x v="0"/>
  </r>
  <r>
    <n v="3223"/>
    <n v="103881758"/>
    <s v="Recovery"/>
    <n v="200"/>
    <s v="AHY"/>
    <s v="F"/>
    <n v="9"/>
    <n v="2014"/>
    <n v="2014"/>
    <n v="10"/>
    <x v="0"/>
    <s v="10B"/>
    <x v="7"/>
    <n v="1"/>
    <n v="7"/>
    <x v="0"/>
    <x v="0"/>
  </r>
  <r>
    <n v="3234"/>
    <n v="103881769"/>
    <s v="Recovery"/>
    <n v="200"/>
    <s v="AHY"/>
    <s v="F"/>
    <n v="9"/>
    <n v="2019"/>
    <n v="2019"/>
    <n v="15"/>
    <x v="0"/>
    <s v="15B"/>
    <x v="11"/>
    <n v="1"/>
    <n v="7"/>
    <x v="0"/>
    <x v="0"/>
  </r>
  <r>
    <n v="3235"/>
    <n v="103881770"/>
    <s v="Recovery"/>
    <n v="200"/>
    <s v="AHY"/>
    <s v="F"/>
    <n v="10"/>
    <n v="2009"/>
    <n v="2009"/>
    <n v="5"/>
    <x v="0"/>
    <s v="5B"/>
    <x v="8"/>
    <n v="1"/>
    <n v="50"/>
    <x v="3"/>
    <x v="1"/>
  </r>
  <r>
    <n v="3251"/>
    <n v="103881786"/>
    <s v="Recovery"/>
    <n v="200"/>
    <s v="AHY"/>
    <s v="F"/>
    <n v="9"/>
    <n v="2007"/>
    <n v="2007"/>
    <n v="3"/>
    <x v="0"/>
    <s v="3B"/>
    <x v="1"/>
    <n v="1"/>
    <n v="7"/>
    <x v="0"/>
    <x v="0"/>
  </r>
  <r>
    <n v="3252"/>
    <n v="103881787"/>
    <s v="Recovery"/>
    <n v="200"/>
    <s v="AHY"/>
    <s v="M"/>
    <n v="12"/>
    <n v="2007"/>
    <n v="2007"/>
    <n v="3"/>
    <x v="0"/>
    <s v="3B"/>
    <x v="1"/>
    <n v="1"/>
    <n v="7"/>
    <x v="0"/>
    <x v="0"/>
  </r>
  <r>
    <n v="3266"/>
    <n v="103881801"/>
    <s v="Recovery"/>
    <n v="200"/>
    <s v="AHY"/>
    <s v="F"/>
    <n v="9"/>
    <n v="2007"/>
    <n v="2007"/>
    <n v="3"/>
    <x v="0"/>
    <s v="3B"/>
    <x v="1"/>
    <n v="1"/>
    <n v="7"/>
    <x v="0"/>
    <x v="0"/>
  </r>
  <r>
    <n v="3269"/>
    <n v="103881804"/>
    <s v="Recovery"/>
    <n v="200"/>
    <s v="HY"/>
    <s v="M"/>
    <n v="1"/>
    <n v="2008"/>
    <n v="2007"/>
    <n v="3"/>
    <x v="0"/>
    <s v="3B"/>
    <x v="1"/>
    <n v="1"/>
    <n v="7"/>
    <x v="0"/>
    <x v="0"/>
  </r>
  <r>
    <n v="3271"/>
    <n v="103881806"/>
    <s v="Recovery"/>
    <n v="200"/>
    <s v="AHY"/>
    <s v="F"/>
    <n v="1"/>
    <n v="2008"/>
    <n v="2007"/>
    <n v="3"/>
    <x v="0"/>
    <s v="3B"/>
    <x v="1"/>
    <n v="1"/>
    <n v="7"/>
    <x v="0"/>
    <x v="0"/>
  </r>
  <r>
    <n v="3273"/>
    <n v="103881808"/>
    <s v="Recovery"/>
    <n v="200"/>
    <s v="HY"/>
    <s v="M"/>
    <n v="2"/>
    <n v="2008"/>
    <n v="2007"/>
    <n v="3"/>
    <x v="0"/>
    <s v="3B"/>
    <x v="1"/>
    <n v="1"/>
    <n v="7"/>
    <x v="0"/>
    <x v="0"/>
  </r>
  <r>
    <n v="3276"/>
    <n v="103881811"/>
    <s v="Recovery"/>
    <n v="200"/>
    <s v="HY"/>
    <s v="M"/>
    <n v="2"/>
    <n v="2008"/>
    <n v="2007"/>
    <n v="3"/>
    <x v="0"/>
    <s v="3B"/>
    <x v="1"/>
    <n v="1"/>
    <n v="7"/>
    <x v="0"/>
    <x v="0"/>
  </r>
  <r>
    <n v="3279"/>
    <n v="103881814"/>
    <s v="Recovery"/>
    <n v="200"/>
    <s v="AHY"/>
    <s v="M"/>
    <n v="1"/>
    <n v="2008"/>
    <n v="2007"/>
    <n v="3"/>
    <x v="0"/>
    <s v="3B"/>
    <x v="1"/>
    <n v="1"/>
    <n v="7"/>
    <x v="0"/>
    <x v="0"/>
  </r>
  <r>
    <n v="3280"/>
    <n v="103881815"/>
    <s v="Recovery"/>
    <n v="200"/>
    <s v="AHY"/>
    <s v="M"/>
    <n v="9"/>
    <n v="2018"/>
    <n v="2018"/>
    <n v="14"/>
    <x v="0"/>
    <s v="14B"/>
    <x v="10"/>
    <n v="1"/>
    <n v="7"/>
    <x v="0"/>
    <x v="0"/>
  </r>
  <r>
    <n v="3284"/>
    <n v="103881819"/>
    <s v="Recovery"/>
    <n v="200"/>
    <s v="AHY"/>
    <s v="F"/>
    <n v="1"/>
    <n v="2009"/>
    <n v="2008"/>
    <n v="4"/>
    <x v="0"/>
    <s v="4B"/>
    <x v="6"/>
    <n v="1"/>
    <n v="7"/>
    <x v="0"/>
    <x v="0"/>
  </r>
  <r>
    <n v="3291"/>
    <n v="103881826"/>
    <s v="Recovery"/>
    <n v="200"/>
    <s v="AHY"/>
    <s v="F"/>
    <n v="2"/>
    <n v="2008"/>
    <n v="2007"/>
    <n v="3"/>
    <x v="0"/>
    <s v="3B"/>
    <x v="1"/>
    <n v="1"/>
    <n v="7"/>
    <x v="0"/>
    <x v="0"/>
  </r>
  <r>
    <n v="3295"/>
    <n v="103881830"/>
    <s v="Recovery"/>
    <n v="200"/>
    <s v="HY"/>
    <s v="M"/>
    <n v="1"/>
    <n v="2008"/>
    <n v="2007"/>
    <n v="3"/>
    <x v="0"/>
    <s v="3B"/>
    <x v="1"/>
    <n v="1"/>
    <n v="7"/>
    <x v="0"/>
    <x v="0"/>
  </r>
  <r>
    <n v="3296"/>
    <n v="103881831"/>
    <s v="Recovery"/>
    <n v="200"/>
    <s v="AHY"/>
    <s v="M"/>
    <n v="9"/>
    <n v="2008"/>
    <n v="2008"/>
    <n v="4"/>
    <x v="0"/>
    <s v="4B"/>
    <x v="6"/>
    <n v="1"/>
    <n v="7"/>
    <x v="0"/>
    <x v="0"/>
  </r>
  <r>
    <n v="3297"/>
    <n v="103881832"/>
    <s v="Recovery"/>
    <n v="200"/>
    <s v="HY"/>
    <s v="F"/>
    <n v="1"/>
    <n v="2008"/>
    <n v="2007"/>
    <n v="3"/>
    <x v="0"/>
    <s v="3B"/>
    <x v="1"/>
    <n v="1"/>
    <n v="7"/>
    <x v="0"/>
    <x v="0"/>
  </r>
  <r>
    <n v="3304"/>
    <n v="103881839"/>
    <s v="Recovery"/>
    <n v="200"/>
    <s v="AHY"/>
    <s v="F"/>
    <n v="9"/>
    <n v="2008"/>
    <n v="2008"/>
    <n v="4"/>
    <x v="0"/>
    <s v="4B"/>
    <x v="6"/>
    <n v="1"/>
    <n v="7"/>
    <x v="0"/>
    <x v="0"/>
  </r>
  <r>
    <n v="3310"/>
    <n v="103881845"/>
    <s v="Recovery"/>
    <n v="200"/>
    <s v="AHY"/>
    <s v="M"/>
    <n v="2"/>
    <n v="2008"/>
    <n v="2007"/>
    <n v="3"/>
    <x v="0"/>
    <s v="3B"/>
    <x v="1"/>
    <n v="1"/>
    <n v="7"/>
    <x v="0"/>
    <x v="0"/>
  </r>
  <r>
    <n v="3312"/>
    <n v="103881847"/>
    <s v="Recovery"/>
    <n v="200"/>
    <s v="AHY"/>
    <s v="F"/>
    <n v="1"/>
    <n v="2013"/>
    <n v="2012"/>
    <n v="8"/>
    <x v="0"/>
    <s v="8B"/>
    <x v="3"/>
    <n v="1"/>
    <n v="7"/>
    <x v="0"/>
    <x v="0"/>
  </r>
  <r>
    <n v="3314"/>
    <n v="103881849"/>
    <s v="Recovery"/>
    <n v="200"/>
    <s v="HY"/>
    <s v="M"/>
    <n v="1"/>
    <n v="2008"/>
    <n v="2007"/>
    <n v="3"/>
    <x v="0"/>
    <s v="3B"/>
    <x v="1"/>
    <n v="1"/>
    <n v="7"/>
    <x v="0"/>
    <x v="0"/>
  </r>
  <r>
    <n v="3315"/>
    <n v="103881850"/>
    <s v="Recovery"/>
    <n v="200"/>
    <s v="AHY"/>
    <s v="M"/>
    <n v="1"/>
    <n v="2009"/>
    <n v="2008"/>
    <n v="4"/>
    <x v="0"/>
    <s v="4B"/>
    <x v="6"/>
    <n v="1"/>
    <n v="7"/>
    <x v="0"/>
    <x v="0"/>
  </r>
  <r>
    <n v="3316"/>
    <n v="103881851"/>
    <s v="Recovery"/>
    <n v="200"/>
    <s v="AHY"/>
    <s v="M"/>
    <n v="1"/>
    <n v="2009"/>
    <n v="2008"/>
    <n v="4"/>
    <x v="0"/>
    <s v="4B"/>
    <x v="6"/>
    <n v="1"/>
    <n v="7"/>
    <x v="0"/>
    <x v="0"/>
  </r>
  <r>
    <n v="3320"/>
    <n v="103881855"/>
    <s v="Recovery"/>
    <n v="200"/>
    <s v="AHY"/>
    <s v="F"/>
    <n v="1"/>
    <n v="2008"/>
    <n v="2007"/>
    <n v="3"/>
    <x v="0"/>
    <s v="3B"/>
    <x v="1"/>
    <n v="1"/>
    <n v="7"/>
    <x v="0"/>
    <x v="0"/>
  </r>
  <r>
    <n v="3322"/>
    <n v="103881857"/>
    <s v="Recovery"/>
    <n v="200"/>
    <s v="AHY"/>
    <s v="F"/>
    <n v="9"/>
    <n v="2011"/>
    <n v="2011"/>
    <n v="7"/>
    <x v="0"/>
    <s v="7B"/>
    <x v="9"/>
    <n v="1"/>
    <n v="7"/>
    <x v="0"/>
    <x v="0"/>
  </r>
  <r>
    <n v="3325"/>
    <n v="103881860"/>
    <s v="Recovery"/>
    <n v="200"/>
    <s v="AHY"/>
    <s v="F"/>
    <n v="9"/>
    <n v="2008"/>
    <n v="2008"/>
    <n v="4"/>
    <x v="0"/>
    <s v="4B"/>
    <x v="6"/>
    <n v="1"/>
    <n v="7"/>
    <x v="0"/>
    <x v="0"/>
  </r>
  <r>
    <n v="3330"/>
    <n v="103881865"/>
    <s v="Recovery"/>
    <n v="200"/>
    <s v="AHY"/>
    <s v="M"/>
    <n v="9"/>
    <n v="2010"/>
    <n v="2010"/>
    <n v="6"/>
    <x v="0"/>
    <s v="6B"/>
    <x v="2"/>
    <n v="1"/>
    <n v="7"/>
    <x v="0"/>
    <x v="0"/>
  </r>
  <r>
    <n v="3332"/>
    <n v="103881867"/>
    <s v="Recovery"/>
    <n v="200"/>
    <s v="AHY"/>
    <s v="M"/>
    <n v="1"/>
    <n v="2008"/>
    <n v="2007"/>
    <n v="3"/>
    <x v="0"/>
    <s v="3B"/>
    <x v="1"/>
    <n v="1"/>
    <n v="7"/>
    <x v="0"/>
    <x v="0"/>
  </r>
  <r>
    <n v="3334"/>
    <n v="103881869"/>
    <s v="Recovery"/>
    <n v="200"/>
    <s v="AHY"/>
    <s v="F"/>
    <n v="1"/>
    <n v="2010"/>
    <n v="2009"/>
    <n v="5"/>
    <x v="0"/>
    <s v="5B"/>
    <x v="8"/>
    <n v="1"/>
    <n v="7"/>
    <x v="0"/>
    <x v="0"/>
  </r>
  <r>
    <n v="3337"/>
    <n v="103881872"/>
    <s v="Recovery"/>
    <n v="200"/>
    <s v="AHY"/>
    <s v="F"/>
    <n v="12"/>
    <n v="2010"/>
    <n v="2010"/>
    <n v="6"/>
    <x v="0"/>
    <s v="6B"/>
    <x v="2"/>
    <n v="1"/>
    <n v="7"/>
    <x v="0"/>
    <x v="0"/>
  </r>
  <r>
    <n v="3341"/>
    <n v="103881876"/>
    <s v="Recovery"/>
    <n v="200"/>
    <s v="AHY"/>
    <s v="F"/>
    <n v="10"/>
    <n v="2009"/>
    <n v="2009"/>
    <n v="5"/>
    <x v="0"/>
    <s v="5B"/>
    <x v="8"/>
    <n v="1"/>
    <n v="7"/>
    <x v="0"/>
    <x v="0"/>
  </r>
  <r>
    <n v="3344"/>
    <n v="103881879"/>
    <s v="Recovery"/>
    <n v="200"/>
    <s v="AHY"/>
    <s v="M"/>
    <n v="9"/>
    <n v="2010"/>
    <n v="2010"/>
    <n v="6"/>
    <x v="0"/>
    <s v="6B"/>
    <x v="2"/>
    <n v="1"/>
    <n v="7"/>
    <x v="0"/>
    <x v="0"/>
  </r>
  <r>
    <n v="3345"/>
    <n v="103881880"/>
    <s v="Recovery"/>
    <n v="200"/>
    <s v="AHY"/>
    <s v="M"/>
    <n v="9"/>
    <n v="2008"/>
    <n v="2008"/>
    <n v="4"/>
    <x v="0"/>
    <s v="4B"/>
    <x v="6"/>
    <n v="1"/>
    <n v="7"/>
    <x v="0"/>
    <x v="0"/>
  </r>
  <r>
    <n v="3351"/>
    <n v="103881886"/>
    <s v="Recovery"/>
    <n v="200"/>
    <s v="AHY"/>
    <s v="M"/>
    <n v="9"/>
    <n v="2008"/>
    <n v="2008"/>
    <n v="4"/>
    <x v="0"/>
    <s v="4B"/>
    <x v="6"/>
    <n v="1"/>
    <n v="7"/>
    <x v="0"/>
    <x v="0"/>
  </r>
  <r>
    <n v="3352"/>
    <n v="103881887"/>
    <s v="Recovery"/>
    <n v="200"/>
    <s v="AHY"/>
    <s v="F"/>
    <n v="9"/>
    <n v="2008"/>
    <n v="2008"/>
    <n v="4"/>
    <x v="0"/>
    <s v="4B"/>
    <x v="6"/>
    <n v="1"/>
    <n v="7"/>
    <x v="0"/>
    <x v="0"/>
  </r>
  <r>
    <n v="3353"/>
    <n v="103881888"/>
    <s v="Recovery"/>
    <n v="200"/>
    <s v="AHY"/>
    <s v="F"/>
    <n v="1"/>
    <n v="2010"/>
    <n v="2009"/>
    <n v="5"/>
    <x v="0"/>
    <s v="5B"/>
    <x v="8"/>
    <n v="1"/>
    <n v="7"/>
    <x v="0"/>
    <x v="0"/>
  </r>
  <r>
    <n v="3354"/>
    <n v="103881889"/>
    <s v="Recovery"/>
    <n v="200"/>
    <s v="AHY"/>
    <s v="F"/>
    <n v="1"/>
    <n v="2018"/>
    <n v="2017"/>
    <n v="13"/>
    <x v="0"/>
    <s v="13B"/>
    <x v="13"/>
    <n v="1"/>
    <n v="7"/>
    <x v="0"/>
    <x v="0"/>
  </r>
  <r>
    <n v="3362"/>
    <n v="103881897"/>
    <s v="Recovery"/>
    <n v="200"/>
    <s v="AHY"/>
    <s v="M"/>
    <n v="1"/>
    <n v="2009"/>
    <n v="2008"/>
    <n v="4"/>
    <x v="0"/>
    <s v="4B"/>
    <x v="6"/>
    <n v="1"/>
    <n v="7"/>
    <x v="0"/>
    <x v="0"/>
  </r>
  <r>
    <n v="3371"/>
    <n v="103881906"/>
    <s v="Recovery"/>
    <n v="200"/>
    <s v="AHY"/>
    <s v="M"/>
    <n v="12"/>
    <n v="2020"/>
    <n v="2020"/>
    <n v="16"/>
    <x v="0"/>
    <s v="16B"/>
    <x v="15"/>
    <n v="1"/>
    <n v="7"/>
    <x v="0"/>
    <x v="0"/>
  </r>
  <r>
    <n v="3372"/>
    <n v="103881907"/>
    <s v="Recovery"/>
    <n v="200"/>
    <s v="AHY"/>
    <s v="F"/>
    <n v="9"/>
    <n v="2008"/>
    <n v="2008"/>
    <n v="4"/>
    <x v="0"/>
    <s v="4B"/>
    <x v="6"/>
    <n v="1"/>
    <n v="7"/>
    <x v="0"/>
    <x v="0"/>
  </r>
  <r>
    <n v="3373"/>
    <n v="103881908"/>
    <s v="Recovery"/>
    <n v="200"/>
    <s v="AHY"/>
    <s v="F"/>
    <n v="9"/>
    <n v="2012"/>
    <n v="2012"/>
    <n v="8"/>
    <x v="0"/>
    <s v="8B"/>
    <x v="3"/>
    <n v="1"/>
    <n v="7"/>
    <x v="0"/>
    <x v="0"/>
  </r>
  <r>
    <n v="3375"/>
    <n v="103881910"/>
    <s v="Recovery"/>
    <n v="200"/>
    <s v="AHY"/>
    <s v="M"/>
    <n v="12"/>
    <n v="2011"/>
    <n v="2011"/>
    <n v="7"/>
    <x v="0"/>
    <s v="7B"/>
    <x v="9"/>
    <n v="1"/>
    <n v="7"/>
    <x v="0"/>
    <x v="0"/>
  </r>
  <r>
    <n v="3376"/>
    <n v="103881911"/>
    <s v="Recovery"/>
    <n v="200"/>
    <s v="AHY"/>
    <s v="M"/>
    <n v="1"/>
    <n v="2010"/>
    <n v="2009"/>
    <n v="5"/>
    <x v="0"/>
    <s v="5B"/>
    <x v="8"/>
    <n v="1"/>
    <n v="7"/>
    <x v="0"/>
    <x v="0"/>
  </r>
  <r>
    <n v="3382"/>
    <n v="103881917"/>
    <s v="Recovery"/>
    <n v="200"/>
    <s v="AHY"/>
    <s v="M"/>
    <n v="1"/>
    <n v="2009"/>
    <n v="2008"/>
    <n v="4"/>
    <x v="0"/>
    <s v="4B"/>
    <x v="6"/>
    <n v="1"/>
    <n v="7"/>
    <x v="0"/>
    <x v="0"/>
  </r>
  <r>
    <n v="3387"/>
    <n v="103881922"/>
    <s v="Recovery"/>
    <n v="200"/>
    <s v="AHY"/>
    <s v="M"/>
    <n v="1"/>
    <n v="2012"/>
    <n v="2011"/>
    <n v="7"/>
    <x v="0"/>
    <s v="7B"/>
    <x v="9"/>
    <n v="1"/>
    <n v="7"/>
    <x v="0"/>
    <x v="0"/>
  </r>
  <r>
    <n v="3391"/>
    <n v="103881926"/>
    <s v="Recovery"/>
    <n v="200"/>
    <s v="AHY"/>
    <s v="M"/>
    <n v="1"/>
    <n v="2010"/>
    <n v="2009"/>
    <n v="5"/>
    <x v="0"/>
    <s v="5B"/>
    <x v="8"/>
    <n v="1"/>
    <n v="7"/>
    <x v="0"/>
    <x v="0"/>
  </r>
  <r>
    <n v="3392"/>
    <n v="103881927"/>
    <s v="Recovery"/>
    <n v="200"/>
    <s v="AHY"/>
    <s v="F"/>
    <n v="9"/>
    <n v="2010"/>
    <n v="2010"/>
    <n v="6"/>
    <x v="0"/>
    <s v="6B"/>
    <x v="2"/>
    <n v="1"/>
    <n v="7"/>
    <x v="0"/>
    <x v="0"/>
  </r>
  <r>
    <n v="3393"/>
    <n v="103881928"/>
    <s v="Recovery"/>
    <n v="200"/>
    <s v="AHY"/>
    <s v="F"/>
    <n v="9"/>
    <n v="2015"/>
    <n v="2015"/>
    <n v="11"/>
    <x v="0"/>
    <s v="11B"/>
    <x v="14"/>
    <n v="1"/>
    <n v="7"/>
    <x v="0"/>
    <x v="0"/>
  </r>
  <r>
    <n v="3408"/>
    <n v="103881943"/>
    <s v="Recovery"/>
    <n v="200"/>
    <s v="AHY"/>
    <s v="F"/>
    <n v="9"/>
    <n v="2010"/>
    <n v="2010"/>
    <n v="6"/>
    <x v="0"/>
    <s v="6B"/>
    <x v="2"/>
    <n v="1"/>
    <n v="7"/>
    <x v="0"/>
    <x v="0"/>
  </r>
  <r>
    <n v="3418"/>
    <n v="103881953"/>
    <s v="Recovery"/>
    <n v="200"/>
    <s v="AHY"/>
    <s v="F"/>
    <n v="1"/>
    <n v="2009"/>
    <n v="2008"/>
    <n v="4"/>
    <x v="0"/>
    <s v="4B"/>
    <x v="6"/>
    <n v="1"/>
    <n v="7"/>
    <x v="0"/>
    <x v="0"/>
  </r>
  <r>
    <n v="3434"/>
    <n v="103881969"/>
    <s v="Recovery"/>
    <n v="200"/>
    <s v="AHY"/>
    <s v="F"/>
    <n v="11"/>
    <n v="2008"/>
    <n v="2008"/>
    <n v="4"/>
    <x v="0"/>
    <s v="4B"/>
    <x v="6"/>
    <n v="1"/>
    <n v="7"/>
    <x v="0"/>
    <x v="0"/>
  </r>
  <r>
    <n v="3465"/>
    <n v="103882000"/>
    <s v="Recovery"/>
    <n v="200"/>
    <s v="AHY"/>
    <s v="M"/>
    <n v="9"/>
    <n v="2010"/>
    <n v="2010"/>
    <n v="6"/>
    <x v="0"/>
    <s v="6B"/>
    <x v="2"/>
    <n v="1"/>
    <n v="7"/>
    <x v="0"/>
    <x v="0"/>
  </r>
  <r>
    <n v="3482"/>
    <n v="103887017"/>
    <s v="Recovery"/>
    <n v="200"/>
    <s v="AHY"/>
    <s v="F"/>
    <n v="1"/>
    <n v="2010"/>
    <n v="2009"/>
    <n v="5"/>
    <x v="0"/>
    <s v="5B"/>
    <x v="8"/>
    <n v="1"/>
    <n v="7"/>
    <x v="0"/>
    <x v="0"/>
  </r>
  <r>
    <n v="3492"/>
    <n v="103887027"/>
    <s v="Recovery"/>
    <n v="200"/>
    <s v="AHY"/>
    <s v="F"/>
    <n v="9"/>
    <n v="2008"/>
    <n v="2008"/>
    <n v="4"/>
    <x v="0"/>
    <s v="4B"/>
    <x v="6"/>
    <n v="1"/>
    <n v="7"/>
    <x v="0"/>
    <x v="0"/>
  </r>
  <r>
    <n v="3493"/>
    <n v="103887028"/>
    <s v="Recovery"/>
    <n v="200"/>
    <s v="AHY"/>
    <s v="F"/>
    <n v="12"/>
    <n v="2013"/>
    <n v="2013"/>
    <n v="9"/>
    <x v="0"/>
    <s v="9B"/>
    <x v="4"/>
    <n v="1"/>
    <n v="7"/>
    <x v="0"/>
    <x v="0"/>
  </r>
  <r>
    <n v="3497"/>
    <n v="103887032"/>
    <s v="Recovery"/>
    <n v="200"/>
    <s v="AHY"/>
    <s v="F"/>
    <n v="11"/>
    <n v="2015"/>
    <n v="2015"/>
    <n v="11"/>
    <x v="0"/>
    <s v="11B"/>
    <x v="14"/>
    <n v="1"/>
    <n v="7"/>
    <x v="0"/>
    <x v="0"/>
  </r>
  <r>
    <n v="3501"/>
    <n v="103887036"/>
    <s v="Recovery"/>
    <n v="200"/>
    <s v="AHY"/>
    <s v="F"/>
    <n v="9"/>
    <n v="2012"/>
    <n v="2012"/>
    <n v="8"/>
    <x v="0"/>
    <s v="8B"/>
    <x v="3"/>
    <n v="1"/>
    <n v="7"/>
    <x v="0"/>
    <x v="0"/>
  </r>
  <r>
    <n v="3504"/>
    <n v="103887039"/>
    <s v="Recovery"/>
    <n v="200"/>
    <s v="AHY"/>
    <s v="M"/>
    <n v="12"/>
    <n v="2009"/>
    <n v="2009"/>
    <n v="5"/>
    <x v="0"/>
    <s v="5B"/>
    <x v="8"/>
    <n v="1"/>
    <n v="7"/>
    <x v="0"/>
    <x v="0"/>
  </r>
  <r>
    <n v="3505"/>
    <n v="103887040"/>
    <s v="Recovery"/>
    <n v="200"/>
    <s v="AHY"/>
    <s v="M"/>
    <n v="9"/>
    <n v="2009"/>
    <n v="2009"/>
    <n v="5"/>
    <x v="0"/>
    <s v="5B"/>
    <x v="8"/>
    <n v="1"/>
    <n v="7"/>
    <x v="0"/>
    <x v="0"/>
  </r>
  <r>
    <n v="3506"/>
    <n v="103887041"/>
    <s v="Recovery"/>
    <n v="200"/>
    <s v="AHY"/>
    <s v="M"/>
    <n v="1"/>
    <n v="2010"/>
    <n v="2009"/>
    <n v="5"/>
    <x v="0"/>
    <s v="5B"/>
    <x v="8"/>
    <n v="1"/>
    <n v="7"/>
    <x v="0"/>
    <x v="0"/>
  </r>
  <r>
    <n v="3507"/>
    <n v="103887042"/>
    <s v="Recovery"/>
    <n v="200"/>
    <s v="AHY"/>
    <s v="F"/>
    <n v="1"/>
    <n v="2010"/>
    <n v="2009"/>
    <n v="5"/>
    <x v="0"/>
    <s v="5B"/>
    <x v="8"/>
    <n v="1"/>
    <n v="7"/>
    <x v="0"/>
    <x v="0"/>
  </r>
  <r>
    <n v="3513"/>
    <n v="103887048"/>
    <s v="Recovery"/>
    <n v="200"/>
    <s v="AHY"/>
    <s v="M"/>
    <n v="1"/>
    <n v="2009"/>
    <n v="2008"/>
    <n v="4"/>
    <x v="0"/>
    <s v="4B"/>
    <x v="6"/>
    <n v="1"/>
    <n v="7"/>
    <x v="0"/>
    <x v="0"/>
  </r>
  <r>
    <n v="3514"/>
    <n v="103887049"/>
    <s v="Recovery"/>
    <n v="200"/>
    <s v="AHY"/>
    <s v="M"/>
    <n v="1"/>
    <n v="2009"/>
    <n v="2008"/>
    <n v="4"/>
    <x v="0"/>
    <s v="4B"/>
    <x v="6"/>
    <n v="1"/>
    <n v="7"/>
    <x v="0"/>
    <x v="0"/>
  </r>
  <r>
    <n v="3515"/>
    <n v="103887050"/>
    <s v="Recovery"/>
    <n v="200"/>
    <s v="AHY"/>
    <s v="F"/>
    <n v="1"/>
    <n v="2009"/>
    <n v="2008"/>
    <n v="4"/>
    <x v="0"/>
    <s v="4B"/>
    <x v="6"/>
    <n v="1"/>
    <n v="7"/>
    <x v="0"/>
    <x v="0"/>
  </r>
  <r>
    <n v="3517"/>
    <n v="103887052"/>
    <s v="Recovery"/>
    <n v="200"/>
    <s v="AHY"/>
    <s v="M"/>
    <n v="9"/>
    <n v="2008"/>
    <n v="2008"/>
    <n v="4"/>
    <x v="0"/>
    <s v="4B"/>
    <x v="6"/>
    <n v="1"/>
    <n v="7"/>
    <x v="0"/>
    <x v="0"/>
  </r>
  <r>
    <n v="3523"/>
    <n v="103887058"/>
    <s v="Recovery"/>
    <n v="200"/>
    <s v="AHY"/>
    <s v="M"/>
    <n v="9"/>
    <n v="2010"/>
    <n v="2010"/>
    <n v="6"/>
    <x v="0"/>
    <s v="6B"/>
    <x v="2"/>
    <n v="1"/>
    <n v="7"/>
    <x v="0"/>
    <x v="0"/>
  </r>
  <r>
    <n v="3524"/>
    <n v="103887059"/>
    <s v="Recovery"/>
    <n v="200"/>
    <s v="AHY"/>
    <s v="F"/>
    <n v="11"/>
    <n v="2011"/>
    <n v="2011"/>
    <n v="7"/>
    <x v="0"/>
    <s v="7B"/>
    <x v="9"/>
    <n v="1"/>
    <n v="7"/>
    <x v="0"/>
    <x v="0"/>
  </r>
  <r>
    <n v="3525"/>
    <n v="103887060"/>
    <s v="Recovery"/>
    <n v="200"/>
    <s v="AHY"/>
    <s v="M"/>
    <n v="1"/>
    <n v="2009"/>
    <n v="2008"/>
    <n v="4"/>
    <x v="0"/>
    <s v="4B"/>
    <x v="6"/>
    <n v="1"/>
    <n v="7"/>
    <x v="0"/>
    <x v="0"/>
  </r>
  <r>
    <n v="3528"/>
    <n v="103887063"/>
    <s v="Recovery"/>
    <n v="200"/>
    <s v="AHY"/>
    <s v="F"/>
    <n v="1"/>
    <n v="2009"/>
    <n v="2008"/>
    <n v="4"/>
    <x v="0"/>
    <s v="4B"/>
    <x v="6"/>
    <n v="1"/>
    <n v="7"/>
    <x v="0"/>
    <x v="0"/>
  </r>
  <r>
    <n v="3529"/>
    <n v="103887064"/>
    <s v="Recovery"/>
    <n v="200"/>
    <s v="AHY"/>
    <s v="F"/>
    <n v="12"/>
    <n v="2008"/>
    <n v="2008"/>
    <n v="4"/>
    <x v="0"/>
    <s v="4B"/>
    <x v="6"/>
    <n v="1"/>
    <n v="7"/>
    <x v="0"/>
    <x v="0"/>
  </r>
  <r>
    <n v="3532"/>
    <n v="103887067"/>
    <s v="Recovery"/>
    <n v="200"/>
    <s v="AHY"/>
    <s v="M"/>
    <n v="12"/>
    <n v="2008"/>
    <n v="2008"/>
    <n v="4"/>
    <x v="0"/>
    <s v="4B"/>
    <x v="6"/>
    <n v="1"/>
    <n v="7"/>
    <x v="0"/>
    <x v="0"/>
  </r>
  <r>
    <n v="3533"/>
    <n v="103887068"/>
    <s v="Recovery"/>
    <n v="200"/>
    <s v="AHY"/>
    <s v="F"/>
    <n v="12"/>
    <n v="2008"/>
    <n v="2008"/>
    <n v="4"/>
    <x v="0"/>
    <s v="4B"/>
    <x v="6"/>
    <n v="1"/>
    <n v="83"/>
    <x v="18"/>
    <x v="1"/>
  </r>
  <r>
    <n v="3537"/>
    <n v="103887072"/>
    <s v="Recovery"/>
    <n v="200"/>
    <s v="AHY"/>
    <s v="F"/>
    <n v="1"/>
    <n v="2013"/>
    <n v="2012"/>
    <n v="8"/>
    <x v="0"/>
    <s v="8B"/>
    <x v="3"/>
    <n v="1"/>
    <n v="7"/>
    <x v="0"/>
    <x v="0"/>
  </r>
  <r>
    <n v="3544"/>
    <n v="103887079"/>
    <s v="Recovery"/>
    <n v="200"/>
    <s v="HY"/>
    <s v="M"/>
    <n v="9"/>
    <n v="2008"/>
    <n v="2008"/>
    <n v="4"/>
    <x v="0"/>
    <s v="4B"/>
    <x v="6"/>
    <n v="1"/>
    <n v="7"/>
    <x v="0"/>
    <x v="0"/>
  </r>
  <r>
    <n v="3552"/>
    <n v="103887087"/>
    <s v="Recovery"/>
    <n v="200"/>
    <s v="AHY"/>
    <s v="M"/>
    <n v="12"/>
    <n v="2016"/>
    <n v="2016"/>
    <n v="12"/>
    <x v="0"/>
    <s v="12B"/>
    <x v="12"/>
    <n v="1"/>
    <n v="7"/>
    <x v="0"/>
    <x v="0"/>
  </r>
  <r>
    <n v="3553"/>
    <n v="103887088"/>
    <s v="Recovery"/>
    <n v="200"/>
    <s v="AHY"/>
    <s v="M"/>
    <n v="1"/>
    <n v="2012"/>
    <n v="2011"/>
    <n v="7"/>
    <x v="0"/>
    <s v="7B"/>
    <x v="9"/>
    <n v="1"/>
    <n v="7"/>
    <x v="0"/>
    <x v="0"/>
  </r>
  <r>
    <n v="3556"/>
    <n v="103887091"/>
    <s v="Recovery"/>
    <n v="200"/>
    <s v="AHY"/>
    <s v="F"/>
    <n v="12"/>
    <n v="2009"/>
    <n v="2009"/>
    <n v="5"/>
    <x v="0"/>
    <s v="5B"/>
    <x v="8"/>
    <n v="1"/>
    <n v="7"/>
    <x v="0"/>
    <x v="0"/>
  </r>
  <r>
    <n v="3557"/>
    <n v="103887092"/>
    <s v="Recovery"/>
    <n v="200"/>
    <s v="AHY"/>
    <s v="F"/>
    <n v="9"/>
    <n v="2008"/>
    <n v="2008"/>
    <n v="4"/>
    <x v="0"/>
    <s v="4B"/>
    <x v="6"/>
    <n v="1"/>
    <n v="7"/>
    <x v="0"/>
    <x v="0"/>
  </r>
  <r>
    <n v="3558"/>
    <n v="103887093"/>
    <s v="Recovery"/>
    <n v="200"/>
    <s v="AHY"/>
    <s v="F"/>
    <n v="12"/>
    <n v="2011"/>
    <n v="2011"/>
    <n v="7"/>
    <x v="0"/>
    <s v="7B"/>
    <x v="9"/>
    <n v="1"/>
    <n v="7"/>
    <x v="0"/>
    <x v="0"/>
  </r>
  <r>
    <n v="3562"/>
    <n v="103887097"/>
    <s v="Recovery"/>
    <n v="200"/>
    <s v="AHY"/>
    <s v="M"/>
    <n v="9"/>
    <n v="2008"/>
    <n v="2008"/>
    <n v="4"/>
    <x v="0"/>
    <s v="4B"/>
    <x v="6"/>
    <n v="1"/>
    <n v="7"/>
    <x v="0"/>
    <x v="0"/>
  </r>
  <r>
    <n v="3568"/>
    <n v="103887103"/>
    <s v="Recovery"/>
    <n v="200"/>
    <s v="AHY"/>
    <s v="F"/>
    <n v="9"/>
    <n v="2008"/>
    <n v="2008"/>
    <n v="4"/>
    <x v="0"/>
    <s v="4B"/>
    <x v="6"/>
    <n v="1"/>
    <n v="7"/>
    <x v="0"/>
    <x v="0"/>
  </r>
  <r>
    <n v="3574"/>
    <n v="103887109"/>
    <s v="Recovery"/>
    <n v="200"/>
    <s v="AHY"/>
    <s v="F"/>
    <n v="1"/>
    <n v="2009"/>
    <n v="2008"/>
    <n v="4"/>
    <x v="0"/>
    <s v="4B"/>
    <x v="6"/>
    <n v="1"/>
    <n v="7"/>
    <x v="0"/>
    <x v="0"/>
  </r>
  <r>
    <n v="3576"/>
    <n v="103887111"/>
    <s v="Recovery"/>
    <n v="200"/>
    <s v="AHY"/>
    <s v="F"/>
    <n v="12"/>
    <n v="2019"/>
    <n v="2019"/>
    <n v="15"/>
    <x v="0"/>
    <s v="15B"/>
    <x v="11"/>
    <n v="1"/>
    <n v="7"/>
    <x v="0"/>
    <x v="0"/>
  </r>
  <r>
    <n v="3577"/>
    <n v="103887112"/>
    <s v="Recovery"/>
    <n v="200"/>
    <s v="AHY"/>
    <s v="F"/>
    <n v="1"/>
    <n v="2009"/>
    <n v="2008"/>
    <n v="4"/>
    <x v="0"/>
    <s v="4B"/>
    <x v="6"/>
    <n v="1"/>
    <n v="7"/>
    <x v="0"/>
    <x v="0"/>
  </r>
  <r>
    <n v="3579"/>
    <n v="103887114"/>
    <s v="Recovery"/>
    <n v="200"/>
    <s v="AHY"/>
    <s v="F"/>
    <n v="9"/>
    <n v="2012"/>
    <n v="2012"/>
    <n v="8"/>
    <x v="0"/>
    <s v="8B"/>
    <x v="3"/>
    <n v="1"/>
    <n v="7"/>
    <x v="0"/>
    <x v="0"/>
  </r>
  <r>
    <n v="3581"/>
    <n v="103887116"/>
    <s v="Recovery"/>
    <n v="200"/>
    <s v="AHY"/>
    <s v="M"/>
    <n v="9"/>
    <n v="2009"/>
    <n v="2009"/>
    <n v="5"/>
    <x v="0"/>
    <s v="5B"/>
    <x v="8"/>
    <n v="1"/>
    <n v="7"/>
    <x v="0"/>
    <x v="0"/>
  </r>
  <r>
    <n v="3583"/>
    <n v="103887118"/>
    <s v="Recovery"/>
    <n v="200"/>
    <s v="AHY"/>
    <s v="M"/>
    <n v="1"/>
    <n v="2009"/>
    <n v="2008"/>
    <n v="4"/>
    <x v="0"/>
    <s v="4B"/>
    <x v="6"/>
    <n v="1"/>
    <n v="7"/>
    <x v="0"/>
    <x v="0"/>
  </r>
  <r>
    <n v="3585"/>
    <n v="103887120"/>
    <s v="Recovery"/>
    <n v="200"/>
    <s v="AHY"/>
    <s v="M"/>
    <n v="12"/>
    <n v="2008"/>
    <n v="2008"/>
    <n v="4"/>
    <x v="0"/>
    <s v="4B"/>
    <x v="6"/>
    <n v="1"/>
    <n v="7"/>
    <x v="0"/>
    <x v="0"/>
  </r>
  <r>
    <n v="3590"/>
    <n v="103887125"/>
    <s v="Recovery"/>
    <n v="200"/>
    <s v="AHY"/>
    <s v="M"/>
    <n v="1"/>
    <n v="2010"/>
    <n v="2009"/>
    <n v="5"/>
    <x v="0"/>
    <s v="5B"/>
    <x v="8"/>
    <n v="1"/>
    <n v="7"/>
    <x v="0"/>
    <x v="0"/>
  </r>
  <r>
    <n v="3593"/>
    <n v="103887128"/>
    <s v="Recovery"/>
    <n v="200"/>
    <s v="AHY"/>
    <s v="M"/>
    <n v="9"/>
    <n v="2011"/>
    <n v="2011"/>
    <n v="7"/>
    <x v="0"/>
    <s v="7B"/>
    <x v="9"/>
    <n v="1"/>
    <n v="7"/>
    <x v="0"/>
    <x v="0"/>
  </r>
  <r>
    <n v="3594"/>
    <n v="103887129"/>
    <s v="Recovery"/>
    <n v="200"/>
    <s v="AHY"/>
    <s v="F"/>
    <n v="9"/>
    <n v="2008"/>
    <n v="2008"/>
    <n v="4"/>
    <x v="0"/>
    <s v="4B"/>
    <x v="6"/>
    <n v="1"/>
    <n v="7"/>
    <x v="0"/>
    <x v="0"/>
  </r>
  <r>
    <n v="3599"/>
    <n v="103887134"/>
    <s v="Recovery"/>
    <n v="200"/>
    <s v="AHY"/>
    <s v="F"/>
    <n v="9"/>
    <n v="2008"/>
    <n v="2008"/>
    <n v="4"/>
    <x v="0"/>
    <s v="4B"/>
    <x v="6"/>
    <n v="1"/>
    <n v="7"/>
    <x v="0"/>
    <x v="0"/>
  </r>
  <r>
    <n v="3601"/>
    <n v="103887136"/>
    <s v="Recovery"/>
    <n v="200"/>
    <s v="AHY"/>
    <s v="M"/>
    <n v="1"/>
    <n v="2012"/>
    <n v="2011"/>
    <n v="7"/>
    <x v="0"/>
    <s v="7B"/>
    <x v="9"/>
    <n v="1"/>
    <n v="7"/>
    <x v="0"/>
    <x v="0"/>
  </r>
  <r>
    <n v="3609"/>
    <n v="103887144"/>
    <s v="Recovery"/>
    <n v="200"/>
    <s v="AHY"/>
    <s v="F"/>
    <n v="9"/>
    <n v="2009"/>
    <n v="2009"/>
    <n v="5"/>
    <x v="0"/>
    <s v="5B"/>
    <x v="8"/>
    <n v="1"/>
    <n v="7"/>
    <x v="0"/>
    <x v="0"/>
  </r>
  <r>
    <n v="3610"/>
    <n v="103887145"/>
    <s v="Recovery"/>
    <n v="200"/>
    <s v="AHY"/>
    <s v="M"/>
    <n v="11"/>
    <n v="2010"/>
    <n v="2010"/>
    <n v="6"/>
    <x v="0"/>
    <s v="6B"/>
    <x v="2"/>
    <n v="1"/>
    <n v="7"/>
    <x v="0"/>
    <x v="0"/>
  </r>
  <r>
    <n v="3612"/>
    <n v="103887147"/>
    <s v="Recovery"/>
    <n v="200"/>
    <s v="AHY"/>
    <s v="F"/>
    <n v="9"/>
    <n v="2012"/>
    <n v="2012"/>
    <n v="8"/>
    <x v="0"/>
    <s v="8B"/>
    <x v="3"/>
    <n v="1"/>
    <n v="7"/>
    <x v="0"/>
    <x v="0"/>
  </r>
  <r>
    <n v="3616"/>
    <n v="103887151"/>
    <s v="Recovery"/>
    <n v="200"/>
    <s v="AHY"/>
    <s v="M"/>
    <n v="9"/>
    <n v="2010"/>
    <n v="2010"/>
    <n v="6"/>
    <x v="0"/>
    <s v="6B"/>
    <x v="2"/>
    <n v="1"/>
    <n v="7"/>
    <x v="0"/>
    <x v="0"/>
  </r>
  <r>
    <n v="3619"/>
    <n v="103887154"/>
    <s v="Recovery"/>
    <n v="200"/>
    <s v="AHY"/>
    <s v="F"/>
    <n v="1"/>
    <n v="2011"/>
    <n v="2010"/>
    <n v="6"/>
    <x v="0"/>
    <s v="6B"/>
    <x v="2"/>
    <n v="1"/>
    <n v="7"/>
    <x v="0"/>
    <x v="0"/>
  </r>
  <r>
    <n v="3620"/>
    <n v="103887155"/>
    <s v="Recovery"/>
    <n v="200"/>
    <s v="AHY"/>
    <s v="M"/>
    <n v="1"/>
    <n v="2012"/>
    <n v="2011"/>
    <n v="7"/>
    <x v="0"/>
    <s v="7B"/>
    <x v="9"/>
    <n v="1"/>
    <n v="7"/>
    <x v="0"/>
    <x v="0"/>
  </r>
  <r>
    <n v="3624"/>
    <n v="103887159"/>
    <s v="Recovery"/>
    <n v="200"/>
    <s v="AHY"/>
    <s v="M"/>
    <n v="1"/>
    <n v="2013"/>
    <n v="2012"/>
    <n v="8"/>
    <x v="0"/>
    <s v="8B"/>
    <x v="3"/>
    <n v="1"/>
    <n v="7"/>
    <x v="0"/>
    <x v="0"/>
  </r>
  <r>
    <n v="3625"/>
    <n v="103887160"/>
    <s v="Recovery"/>
    <n v="200"/>
    <s v="AHY"/>
    <s v="M"/>
    <n v="1"/>
    <n v="2011"/>
    <n v="2010"/>
    <n v="6"/>
    <x v="0"/>
    <s v="6B"/>
    <x v="2"/>
    <n v="1"/>
    <n v="7"/>
    <x v="0"/>
    <x v="0"/>
  </r>
  <r>
    <n v="3629"/>
    <n v="103887164"/>
    <s v="Recovery"/>
    <n v="200"/>
    <s v="AHY"/>
    <s v="M"/>
    <n v="12"/>
    <n v="2011"/>
    <n v="2011"/>
    <n v="7"/>
    <x v="0"/>
    <s v="7B"/>
    <x v="9"/>
    <n v="1"/>
    <n v="7"/>
    <x v="0"/>
    <x v="0"/>
  </r>
  <r>
    <n v="3634"/>
    <n v="103887169"/>
    <s v="Recovery"/>
    <n v="200"/>
    <s v="AHY"/>
    <s v="M"/>
    <n v="9"/>
    <n v="2008"/>
    <n v="2008"/>
    <n v="4"/>
    <x v="0"/>
    <s v="4B"/>
    <x v="6"/>
    <n v="1"/>
    <n v="7"/>
    <x v="0"/>
    <x v="0"/>
  </r>
  <r>
    <n v="3639"/>
    <n v="103887174"/>
    <s v="Recovery"/>
    <n v="200"/>
    <s v="AHY"/>
    <s v="M"/>
    <n v="1"/>
    <n v="2009"/>
    <n v="2008"/>
    <n v="4"/>
    <x v="0"/>
    <s v="4B"/>
    <x v="6"/>
    <n v="1"/>
    <n v="7"/>
    <x v="0"/>
    <x v="0"/>
  </r>
  <r>
    <n v="3641"/>
    <n v="103887176"/>
    <s v="Recovery"/>
    <n v="200"/>
    <s v="AHY"/>
    <s v="M"/>
    <n v="1"/>
    <n v="2009"/>
    <n v="2008"/>
    <n v="4"/>
    <x v="0"/>
    <s v="4B"/>
    <x v="6"/>
    <n v="1"/>
    <n v="7"/>
    <x v="0"/>
    <x v="0"/>
  </r>
  <r>
    <n v="3642"/>
    <n v="103887177"/>
    <s v="Recovery"/>
    <n v="200"/>
    <s v="AHY"/>
    <s v="F"/>
    <n v="1"/>
    <n v="2010"/>
    <n v="2009"/>
    <n v="5"/>
    <x v="0"/>
    <s v="5B"/>
    <x v="8"/>
    <n v="1"/>
    <n v="7"/>
    <x v="0"/>
    <x v="0"/>
  </r>
  <r>
    <n v="3647"/>
    <n v="103887182"/>
    <s v="Recovery"/>
    <n v="200"/>
    <s v="AHY"/>
    <s v="M"/>
    <n v="1"/>
    <n v="2016"/>
    <n v="2015"/>
    <n v="11"/>
    <x v="0"/>
    <s v="11B"/>
    <x v="14"/>
    <n v="1"/>
    <n v="7"/>
    <x v="0"/>
    <x v="0"/>
  </r>
  <r>
    <n v="3654"/>
    <n v="103887189"/>
    <s v="Recovery"/>
    <n v="200"/>
    <s v="AHY"/>
    <s v="F"/>
    <n v="9"/>
    <n v="2012"/>
    <n v="2012"/>
    <n v="8"/>
    <x v="0"/>
    <s v="8B"/>
    <x v="3"/>
    <n v="1"/>
    <n v="7"/>
    <x v="0"/>
    <x v="0"/>
  </r>
  <r>
    <n v="3656"/>
    <n v="103887191"/>
    <s v="Recovery"/>
    <n v="200"/>
    <s v="AHY"/>
    <s v="M"/>
    <n v="11"/>
    <n v="2019"/>
    <n v="2019"/>
    <n v="15"/>
    <x v="0"/>
    <s v="15B"/>
    <x v="11"/>
    <n v="1"/>
    <n v="39"/>
    <x v="19"/>
    <x v="1"/>
  </r>
  <r>
    <n v="3657"/>
    <n v="103887192"/>
    <s v="Recovery"/>
    <n v="200"/>
    <s v="AHY"/>
    <s v="M"/>
    <n v="12"/>
    <n v="2012"/>
    <n v="2012"/>
    <n v="8"/>
    <x v="0"/>
    <s v="8B"/>
    <x v="3"/>
    <n v="1"/>
    <n v="7"/>
    <x v="0"/>
    <x v="0"/>
  </r>
  <r>
    <n v="3661"/>
    <n v="103887196"/>
    <s v="Recovery"/>
    <n v="200"/>
    <s v="AHY"/>
    <s v="F"/>
    <n v="1"/>
    <n v="2009"/>
    <n v="2008"/>
    <n v="4"/>
    <x v="0"/>
    <s v="4B"/>
    <x v="6"/>
    <n v="1"/>
    <n v="7"/>
    <x v="0"/>
    <x v="0"/>
  </r>
  <r>
    <n v="3662"/>
    <n v="103887197"/>
    <s v="Recovery"/>
    <n v="200"/>
    <s v="AHY"/>
    <s v="M"/>
    <n v="1"/>
    <n v="2012"/>
    <n v="2011"/>
    <n v="7"/>
    <x v="0"/>
    <s v="7B"/>
    <x v="9"/>
    <n v="1"/>
    <n v="7"/>
    <x v="0"/>
    <x v="0"/>
  </r>
  <r>
    <n v="3666"/>
    <n v="103887201"/>
    <s v="Recovery"/>
    <n v="200"/>
    <s v="AHY"/>
    <s v="F"/>
    <n v="9"/>
    <n v="2010"/>
    <n v="2010"/>
    <n v="6"/>
    <x v="0"/>
    <s v="6B"/>
    <x v="2"/>
    <n v="1"/>
    <n v="7"/>
    <x v="0"/>
    <x v="0"/>
  </r>
  <r>
    <n v="3681"/>
    <n v="103887216"/>
    <s v="Recovery"/>
    <n v="200"/>
    <s v="AHY"/>
    <s v="M"/>
    <n v="9"/>
    <n v="2012"/>
    <n v="2012"/>
    <n v="8"/>
    <x v="0"/>
    <s v="8B"/>
    <x v="3"/>
    <n v="1"/>
    <n v="7"/>
    <x v="0"/>
    <x v="0"/>
  </r>
  <r>
    <n v="3683"/>
    <n v="103887218"/>
    <s v="Recovery"/>
    <n v="200"/>
    <s v="AHY"/>
    <s v="M"/>
    <n v="1"/>
    <n v="2010"/>
    <n v="2009"/>
    <n v="5"/>
    <x v="0"/>
    <s v="5B"/>
    <x v="8"/>
    <n v="1"/>
    <n v="7"/>
    <x v="0"/>
    <x v="0"/>
  </r>
  <r>
    <n v="3689"/>
    <n v="103887224"/>
    <s v="Recovery"/>
    <n v="200"/>
    <s v="AHY"/>
    <s v="M"/>
    <n v="9"/>
    <n v="2010"/>
    <n v="2010"/>
    <n v="6"/>
    <x v="0"/>
    <s v="6B"/>
    <x v="2"/>
    <n v="1"/>
    <n v="7"/>
    <x v="0"/>
    <x v="0"/>
  </r>
  <r>
    <n v="3691"/>
    <n v="103887226"/>
    <s v="Recovery"/>
    <n v="200"/>
    <s v="AHY"/>
    <s v="M"/>
    <n v="11"/>
    <n v="2010"/>
    <n v="2010"/>
    <n v="6"/>
    <x v="0"/>
    <s v="6B"/>
    <x v="2"/>
    <n v="1"/>
    <n v="83"/>
    <x v="18"/>
    <x v="1"/>
  </r>
  <r>
    <n v="3692"/>
    <n v="103887227"/>
    <s v="Recovery"/>
    <n v="200"/>
    <s v="AHY"/>
    <s v="M"/>
    <n v="1"/>
    <n v="2015"/>
    <n v="2014"/>
    <n v="10"/>
    <x v="0"/>
    <s v="10B"/>
    <x v="7"/>
    <n v="1"/>
    <n v="7"/>
    <x v="0"/>
    <x v="0"/>
  </r>
  <r>
    <n v="3693"/>
    <n v="103887228"/>
    <s v="Recovery"/>
    <n v="200"/>
    <s v="AHY"/>
    <s v="M"/>
    <n v="9"/>
    <n v="2010"/>
    <n v="2010"/>
    <n v="6"/>
    <x v="0"/>
    <s v="6B"/>
    <x v="2"/>
    <n v="1"/>
    <n v="7"/>
    <x v="0"/>
    <x v="0"/>
  </r>
  <r>
    <n v="3697"/>
    <n v="103887232"/>
    <s v="Recovery"/>
    <n v="200"/>
    <s v="AHY"/>
    <s v="F"/>
    <n v="12"/>
    <n v="2008"/>
    <n v="2008"/>
    <n v="4"/>
    <x v="0"/>
    <s v="4B"/>
    <x v="6"/>
    <n v="1"/>
    <n v="7"/>
    <x v="0"/>
    <x v="0"/>
  </r>
  <r>
    <n v="3701"/>
    <n v="103887236"/>
    <s v="Recovery"/>
    <n v="200"/>
    <s v="AHY"/>
    <s v="M"/>
    <n v="9"/>
    <n v="2010"/>
    <n v="2010"/>
    <n v="6"/>
    <x v="0"/>
    <s v="6B"/>
    <x v="2"/>
    <n v="1"/>
    <n v="7"/>
    <x v="0"/>
    <x v="0"/>
  </r>
  <r>
    <n v="3702"/>
    <n v="103887237"/>
    <s v="Recovery"/>
    <n v="200"/>
    <s v="AHY"/>
    <s v="F"/>
    <n v="9"/>
    <n v="2009"/>
    <n v="2009"/>
    <n v="5"/>
    <x v="0"/>
    <s v="5B"/>
    <x v="8"/>
    <n v="1"/>
    <n v="7"/>
    <x v="0"/>
    <x v="0"/>
  </r>
  <r>
    <n v="3703"/>
    <n v="103887238"/>
    <s v="Recovery"/>
    <n v="200"/>
    <s v="AHY"/>
    <s v="F"/>
    <n v="12"/>
    <n v="2008"/>
    <n v="2008"/>
    <n v="4"/>
    <x v="0"/>
    <s v="4B"/>
    <x v="6"/>
    <n v="1"/>
    <n v="7"/>
    <x v="0"/>
    <x v="0"/>
  </r>
  <r>
    <n v="3712"/>
    <n v="103887247"/>
    <s v="Recovery"/>
    <n v="200"/>
    <s v="AHY"/>
    <s v="M"/>
    <n v="9"/>
    <n v="2010"/>
    <n v="2010"/>
    <n v="6"/>
    <x v="0"/>
    <s v="6B"/>
    <x v="2"/>
    <n v="1"/>
    <n v="7"/>
    <x v="0"/>
    <x v="0"/>
  </r>
  <r>
    <n v="3713"/>
    <n v="103887248"/>
    <s v="Recovery"/>
    <n v="200"/>
    <s v="AHY"/>
    <s v="M"/>
    <n v="9"/>
    <n v="2008"/>
    <n v="2008"/>
    <n v="4"/>
    <x v="0"/>
    <s v="4B"/>
    <x v="6"/>
    <n v="1"/>
    <n v="7"/>
    <x v="0"/>
    <x v="0"/>
  </r>
  <r>
    <n v="3717"/>
    <n v="103887252"/>
    <s v="Recovery"/>
    <n v="200"/>
    <s v="AHY"/>
    <s v="F"/>
    <n v="9"/>
    <n v="2011"/>
    <n v="2011"/>
    <n v="7"/>
    <x v="0"/>
    <s v="7B"/>
    <x v="9"/>
    <n v="1"/>
    <n v="7"/>
    <x v="0"/>
    <x v="0"/>
  </r>
  <r>
    <n v="3718"/>
    <n v="103887253"/>
    <s v="Recovery"/>
    <n v="200"/>
    <s v="AHY"/>
    <s v="M"/>
    <n v="9"/>
    <n v="2012"/>
    <n v="2012"/>
    <n v="8"/>
    <x v="0"/>
    <s v="8B"/>
    <x v="3"/>
    <n v="1"/>
    <n v="7"/>
    <x v="0"/>
    <x v="0"/>
  </r>
  <r>
    <n v="3724"/>
    <n v="103887259"/>
    <s v="Recovery"/>
    <n v="200"/>
    <s v="AHY"/>
    <s v="F"/>
    <n v="1"/>
    <n v="2015"/>
    <n v="2014"/>
    <n v="10"/>
    <x v="0"/>
    <s v="10B"/>
    <x v="7"/>
    <n v="1"/>
    <n v="7"/>
    <x v="0"/>
    <x v="0"/>
  </r>
  <r>
    <n v="3735"/>
    <n v="103887270"/>
    <s v="Recovery"/>
    <n v="200"/>
    <s v="AHY"/>
    <s v="F"/>
    <n v="9"/>
    <n v="2009"/>
    <n v="2009"/>
    <n v="5"/>
    <x v="0"/>
    <s v="5B"/>
    <x v="8"/>
    <n v="1"/>
    <n v="7"/>
    <x v="0"/>
    <x v="0"/>
  </r>
  <r>
    <n v="3737"/>
    <n v="103887272"/>
    <s v="Recovery"/>
    <n v="200"/>
    <s v="AHY"/>
    <s v="F"/>
    <n v="9"/>
    <n v="2009"/>
    <n v="2009"/>
    <n v="5"/>
    <x v="0"/>
    <s v="5B"/>
    <x v="8"/>
    <n v="1"/>
    <n v="7"/>
    <x v="0"/>
    <x v="0"/>
  </r>
  <r>
    <n v="3739"/>
    <n v="103887274"/>
    <s v="Recovery"/>
    <n v="200"/>
    <s v="AHY"/>
    <s v="M"/>
    <n v="9"/>
    <n v="2009"/>
    <n v="2009"/>
    <n v="5"/>
    <x v="0"/>
    <s v="5B"/>
    <x v="8"/>
    <n v="1"/>
    <n v="7"/>
    <x v="0"/>
    <x v="0"/>
  </r>
  <r>
    <n v="3744"/>
    <n v="103887279"/>
    <s v="Recovery"/>
    <n v="200"/>
    <s v="AHY"/>
    <s v="M"/>
    <n v="9"/>
    <n v="2009"/>
    <n v="2009"/>
    <n v="5"/>
    <x v="0"/>
    <s v="5B"/>
    <x v="8"/>
    <n v="1"/>
    <n v="7"/>
    <x v="0"/>
    <x v="0"/>
  </r>
  <r>
    <n v="3746"/>
    <n v="103887281"/>
    <s v="Recovery"/>
    <n v="200"/>
    <s v="AHY"/>
    <s v="F"/>
    <n v="9"/>
    <n v="2010"/>
    <n v="2010"/>
    <n v="6"/>
    <x v="0"/>
    <s v="6B"/>
    <x v="2"/>
    <n v="1"/>
    <n v="7"/>
    <x v="0"/>
    <x v="0"/>
  </r>
  <r>
    <n v="3750"/>
    <n v="103887285"/>
    <s v="Recovery"/>
    <n v="200"/>
    <s v="AHY"/>
    <s v="M"/>
    <n v="9"/>
    <n v="2011"/>
    <n v="2011"/>
    <n v="7"/>
    <x v="0"/>
    <s v="7B"/>
    <x v="9"/>
    <n v="1"/>
    <n v="7"/>
    <x v="0"/>
    <x v="0"/>
  </r>
  <r>
    <n v="3757"/>
    <n v="103887292"/>
    <s v="Recovery"/>
    <n v="200"/>
    <s v="AHY"/>
    <s v="F"/>
    <n v="9"/>
    <n v="2010"/>
    <n v="2010"/>
    <n v="6"/>
    <x v="0"/>
    <s v="6B"/>
    <x v="2"/>
    <n v="1"/>
    <n v="7"/>
    <x v="0"/>
    <x v="0"/>
  </r>
  <r>
    <n v="3761"/>
    <n v="103887296"/>
    <s v="Recovery"/>
    <n v="200"/>
    <s v="AHY"/>
    <s v="M"/>
    <n v="9"/>
    <n v="2010"/>
    <n v="2010"/>
    <n v="6"/>
    <x v="0"/>
    <s v="6B"/>
    <x v="2"/>
    <n v="1"/>
    <n v="7"/>
    <x v="0"/>
    <x v="0"/>
  </r>
  <r>
    <n v="3765"/>
    <n v="103887300"/>
    <s v="Recovery"/>
    <n v="200"/>
    <s v="AHY"/>
    <s v="M"/>
    <n v="9"/>
    <n v="2012"/>
    <n v="2012"/>
    <n v="8"/>
    <x v="0"/>
    <s v="8B"/>
    <x v="3"/>
    <n v="1"/>
    <n v="7"/>
    <x v="0"/>
    <x v="0"/>
  </r>
  <r>
    <n v="3766"/>
    <n v="103887401"/>
    <s v="Recovery"/>
    <n v="200"/>
    <s v="AHY"/>
    <s v="M"/>
    <n v="1"/>
    <n v="2013"/>
    <n v="2012"/>
    <n v="8"/>
    <x v="0"/>
    <s v="8B"/>
    <x v="3"/>
    <n v="1"/>
    <n v="7"/>
    <x v="0"/>
    <x v="0"/>
  </r>
  <r>
    <n v="3769"/>
    <n v="103887404"/>
    <s v="Recovery"/>
    <n v="200"/>
    <s v="AHY"/>
    <s v="M"/>
    <n v="9"/>
    <n v="2009"/>
    <n v="2009"/>
    <n v="5"/>
    <x v="0"/>
    <s v="5B"/>
    <x v="8"/>
    <n v="1"/>
    <n v="7"/>
    <x v="0"/>
    <x v="0"/>
  </r>
  <r>
    <n v="3777"/>
    <n v="103887412"/>
    <s v="Recovery"/>
    <n v="200"/>
    <s v="AHY"/>
    <s v="M"/>
    <n v="9"/>
    <n v="2014"/>
    <n v="2014"/>
    <n v="10"/>
    <x v="0"/>
    <s v="10B"/>
    <x v="7"/>
    <n v="1"/>
    <n v="7"/>
    <x v="0"/>
    <x v="0"/>
  </r>
  <r>
    <n v="3784"/>
    <n v="103887419"/>
    <s v="Recovery"/>
    <n v="200"/>
    <s v="AHY"/>
    <s v="M"/>
    <n v="10"/>
    <n v="2008"/>
    <n v="2008"/>
    <n v="4"/>
    <x v="0"/>
    <s v="4B"/>
    <x v="6"/>
    <n v="1"/>
    <n v="7"/>
    <x v="0"/>
    <x v="0"/>
  </r>
  <r>
    <n v="3786"/>
    <n v="103887421"/>
    <s v="Recovery"/>
    <n v="200"/>
    <s v="AHY"/>
    <s v="F"/>
    <n v="12"/>
    <n v="2009"/>
    <n v="2009"/>
    <n v="5"/>
    <x v="0"/>
    <s v="5B"/>
    <x v="8"/>
    <n v="1"/>
    <n v="7"/>
    <x v="0"/>
    <x v="0"/>
  </r>
  <r>
    <n v="3788"/>
    <n v="103887423"/>
    <s v="Recovery"/>
    <n v="200"/>
    <s v="AHY"/>
    <s v="F"/>
    <n v="12"/>
    <n v="2012"/>
    <n v="2012"/>
    <n v="8"/>
    <x v="0"/>
    <s v="8B"/>
    <x v="3"/>
    <n v="1"/>
    <n v="7"/>
    <x v="0"/>
    <x v="0"/>
  </r>
  <r>
    <n v="3790"/>
    <n v="103887425"/>
    <s v="Recovery"/>
    <n v="200"/>
    <s v="AHY"/>
    <s v="M"/>
    <n v="9"/>
    <n v="2008"/>
    <n v="2008"/>
    <n v="4"/>
    <x v="0"/>
    <s v="4B"/>
    <x v="6"/>
    <n v="1"/>
    <n v="7"/>
    <x v="0"/>
    <x v="0"/>
  </r>
  <r>
    <n v="3795"/>
    <n v="103887430"/>
    <s v="Recovery"/>
    <n v="200"/>
    <s v="AHY"/>
    <s v="F"/>
    <n v="9"/>
    <n v="2010"/>
    <n v="2010"/>
    <n v="6"/>
    <x v="0"/>
    <s v="6B"/>
    <x v="2"/>
    <n v="1"/>
    <n v="7"/>
    <x v="0"/>
    <x v="0"/>
  </r>
  <r>
    <n v="3796"/>
    <n v="103887431"/>
    <s v="Recovery"/>
    <n v="200"/>
    <s v="AHY"/>
    <s v="F"/>
    <n v="9"/>
    <n v="2009"/>
    <n v="2009"/>
    <n v="5"/>
    <x v="0"/>
    <s v="5B"/>
    <x v="8"/>
    <n v="1"/>
    <n v="7"/>
    <x v="0"/>
    <x v="0"/>
  </r>
  <r>
    <n v="3800"/>
    <n v="103887435"/>
    <s v="Recovery"/>
    <n v="200"/>
    <s v="AHY"/>
    <s v="M"/>
    <n v="1"/>
    <n v="2009"/>
    <n v="2008"/>
    <n v="4"/>
    <x v="0"/>
    <s v="4B"/>
    <x v="6"/>
    <n v="1"/>
    <n v="7"/>
    <x v="0"/>
    <x v="0"/>
  </r>
  <r>
    <n v="3803"/>
    <n v="103887438"/>
    <s v="Recovery"/>
    <n v="200"/>
    <s v="AHY"/>
    <s v="M"/>
    <n v="9"/>
    <n v="2009"/>
    <n v="2009"/>
    <n v="5"/>
    <x v="0"/>
    <s v="5B"/>
    <x v="8"/>
    <n v="1"/>
    <n v="7"/>
    <x v="0"/>
    <x v="0"/>
  </r>
  <r>
    <n v="3806"/>
    <n v="103887441"/>
    <s v="Recovery"/>
    <n v="200"/>
    <s v="AHY"/>
    <s v="F"/>
    <n v="9"/>
    <n v="2009"/>
    <n v="2009"/>
    <n v="5"/>
    <x v="0"/>
    <s v="5B"/>
    <x v="8"/>
    <n v="1"/>
    <n v="7"/>
    <x v="0"/>
    <x v="0"/>
  </r>
  <r>
    <n v="3809"/>
    <n v="103887444"/>
    <s v="Recovery"/>
    <n v="200"/>
    <s v="AHY"/>
    <s v="M"/>
    <n v="1"/>
    <n v="2013"/>
    <n v="2012"/>
    <n v="8"/>
    <x v="0"/>
    <s v="8B"/>
    <x v="3"/>
    <n v="1"/>
    <n v="7"/>
    <x v="0"/>
    <x v="0"/>
  </r>
  <r>
    <n v="3811"/>
    <n v="103887446"/>
    <s v="Recovery"/>
    <n v="200"/>
    <s v="AHY"/>
    <s v="M"/>
    <n v="12"/>
    <n v="2010"/>
    <n v="2010"/>
    <n v="6"/>
    <x v="0"/>
    <s v="6B"/>
    <x v="2"/>
    <n v="1"/>
    <n v="7"/>
    <x v="0"/>
    <x v="0"/>
  </r>
  <r>
    <n v="3815"/>
    <n v="103887450"/>
    <s v="Recovery"/>
    <n v="200"/>
    <s v="HY"/>
    <s v="M"/>
    <n v="1"/>
    <n v="2009"/>
    <n v="2008"/>
    <n v="4"/>
    <x v="0"/>
    <s v="4B"/>
    <x v="6"/>
    <n v="1"/>
    <n v="7"/>
    <x v="0"/>
    <x v="0"/>
  </r>
  <r>
    <n v="3817"/>
    <n v="103887452"/>
    <s v="Recovery"/>
    <n v="200"/>
    <s v="AHY"/>
    <s v="M"/>
    <n v="10"/>
    <n v="2009"/>
    <n v="2009"/>
    <n v="5"/>
    <x v="0"/>
    <s v="5B"/>
    <x v="8"/>
    <n v="1"/>
    <n v="7"/>
    <x v="0"/>
    <x v="0"/>
  </r>
  <r>
    <n v="3818"/>
    <n v="103887453"/>
    <s v="Recovery"/>
    <n v="200"/>
    <s v="AHY"/>
    <s v="F"/>
    <n v="9"/>
    <n v="2009"/>
    <n v="2009"/>
    <n v="5"/>
    <x v="0"/>
    <s v="5B"/>
    <x v="8"/>
    <n v="1"/>
    <n v="7"/>
    <x v="0"/>
    <x v="0"/>
  </r>
  <r>
    <n v="3820"/>
    <n v="103887455"/>
    <s v="Recovery"/>
    <n v="200"/>
    <s v="AHY"/>
    <s v="F"/>
    <n v="12"/>
    <n v="2009"/>
    <n v="2009"/>
    <n v="5"/>
    <x v="0"/>
    <s v="5B"/>
    <x v="8"/>
    <n v="1"/>
    <n v="7"/>
    <x v="0"/>
    <x v="0"/>
  </r>
  <r>
    <n v="3825"/>
    <n v="103887460"/>
    <s v="Recovery"/>
    <n v="200"/>
    <s v="AHY"/>
    <s v="M"/>
    <n v="9"/>
    <n v="2011"/>
    <n v="2011"/>
    <n v="7"/>
    <x v="0"/>
    <s v="7B"/>
    <x v="9"/>
    <n v="1"/>
    <n v="7"/>
    <x v="0"/>
    <x v="0"/>
  </r>
  <r>
    <n v="3826"/>
    <n v="103887461"/>
    <s v="Recovery"/>
    <n v="200"/>
    <s v="AHY"/>
    <s v="M"/>
    <n v="9"/>
    <n v="2008"/>
    <n v="2008"/>
    <n v="4"/>
    <x v="0"/>
    <s v="4B"/>
    <x v="6"/>
    <n v="1"/>
    <n v="7"/>
    <x v="0"/>
    <x v="0"/>
  </r>
  <r>
    <n v="3829"/>
    <n v="103887464"/>
    <s v="Recovery"/>
    <n v="200"/>
    <s v="AHY"/>
    <s v="M"/>
    <n v="9"/>
    <n v="2009"/>
    <n v="2009"/>
    <n v="5"/>
    <x v="0"/>
    <s v="5B"/>
    <x v="8"/>
    <n v="1"/>
    <n v="7"/>
    <x v="0"/>
    <x v="0"/>
  </r>
  <r>
    <n v="3831"/>
    <n v="103887466"/>
    <s v="Recovery"/>
    <n v="200"/>
    <s v="AHY"/>
    <s v="M"/>
    <n v="9"/>
    <n v="2009"/>
    <n v="2009"/>
    <n v="5"/>
    <x v="0"/>
    <s v="5B"/>
    <x v="8"/>
    <n v="1"/>
    <n v="7"/>
    <x v="0"/>
    <x v="0"/>
  </r>
  <r>
    <n v="3832"/>
    <n v="103887467"/>
    <s v="Recovery"/>
    <n v="200"/>
    <s v="AHY"/>
    <s v="F"/>
    <n v="12"/>
    <n v="2009"/>
    <n v="2009"/>
    <n v="5"/>
    <x v="0"/>
    <s v="5B"/>
    <x v="8"/>
    <n v="1"/>
    <n v="7"/>
    <x v="0"/>
    <x v="0"/>
  </r>
  <r>
    <n v="3833"/>
    <n v="103887468"/>
    <s v="Recovery"/>
    <n v="200"/>
    <s v="AHY"/>
    <s v="M"/>
    <n v="1"/>
    <n v="2013"/>
    <n v="2012"/>
    <n v="8"/>
    <x v="0"/>
    <s v="8B"/>
    <x v="3"/>
    <n v="1"/>
    <n v="7"/>
    <x v="0"/>
    <x v="0"/>
  </r>
  <r>
    <n v="3834"/>
    <n v="103887469"/>
    <s v="Recovery"/>
    <n v="200"/>
    <s v="AHY"/>
    <s v="F"/>
    <n v="12"/>
    <n v="2010"/>
    <n v="2010"/>
    <n v="6"/>
    <x v="0"/>
    <s v="6B"/>
    <x v="2"/>
    <n v="1"/>
    <n v="7"/>
    <x v="0"/>
    <x v="0"/>
  </r>
  <r>
    <n v="3835"/>
    <n v="103887470"/>
    <s v="Recovery"/>
    <n v="200"/>
    <s v="AHY"/>
    <s v="F"/>
    <n v="9"/>
    <n v="2008"/>
    <n v="2008"/>
    <n v="4"/>
    <x v="0"/>
    <s v="4B"/>
    <x v="6"/>
    <n v="1"/>
    <n v="7"/>
    <x v="0"/>
    <x v="0"/>
  </r>
  <r>
    <n v="3837"/>
    <n v="103887472"/>
    <s v="Recovery"/>
    <n v="200"/>
    <s v="AHY"/>
    <s v="F"/>
    <n v="1"/>
    <n v="2010"/>
    <n v="2009"/>
    <n v="5"/>
    <x v="0"/>
    <s v="5B"/>
    <x v="8"/>
    <n v="1"/>
    <n v="7"/>
    <x v="0"/>
    <x v="0"/>
  </r>
  <r>
    <n v="3839"/>
    <n v="103887474"/>
    <s v="Recovery"/>
    <n v="200"/>
    <s v="AHY"/>
    <s v="M"/>
    <n v="9"/>
    <n v="2010"/>
    <n v="2010"/>
    <n v="6"/>
    <x v="0"/>
    <s v="6B"/>
    <x v="2"/>
    <n v="1"/>
    <n v="7"/>
    <x v="0"/>
    <x v="0"/>
  </r>
  <r>
    <n v="3840"/>
    <n v="103887475"/>
    <s v="Recovery"/>
    <n v="200"/>
    <s v="AHY"/>
    <s v="M"/>
    <n v="9"/>
    <n v="2010"/>
    <n v="2010"/>
    <n v="6"/>
    <x v="0"/>
    <s v="6B"/>
    <x v="2"/>
    <n v="1"/>
    <n v="7"/>
    <x v="0"/>
    <x v="0"/>
  </r>
  <r>
    <n v="3842"/>
    <n v="103887477"/>
    <s v="Recovery"/>
    <n v="200"/>
    <s v="AHY"/>
    <s v="F"/>
    <n v="9"/>
    <n v="2008"/>
    <n v="2008"/>
    <n v="4"/>
    <x v="0"/>
    <s v="4B"/>
    <x v="6"/>
    <n v="1"/>
    <n v="7"/>
    <x v="0"/>
    <x v="0"/>
  </r>
  <r>
    <n v="3843"/>
    <n v="103887478"/>
    <s v="Recovery"/>
    <n v="200"/>
    <s v="AHY"/>
    <s v="M"/>
    <n v="9"/>
    <n v="2010"/>
    <n v="2010"/>
    <n v="6"/>
    <x v="0"/>
    <s v="6B"/>
    <x v="2"/>
    <n v="1"/>
    <n v="7"/>
    <x v="0"/>
    <x v="0"/>
  </r>
  <r>
    <n v="3844"/>
    <n v="103887479"/>
    <s v="Recovery"/>
    <n v="200"/>
    <s v="AHY"/>
    <s v="M"/>
    <n v="1"/>
    <n v="2009"/>
    <n v="2008"/>
    <n v="4"/>
    <x v="0"/>
    <s v="4B"/>
    <x v="6"/>
    <n v="1"/>
    <n v="7"/>
    <x v="0"/>
    <x v="0"/>
  </r>
  <r>
    <n v="3846"/>
    <n v="103887481"/>
    <s v="Recovery"/>
    <n v="200"/>
    <s v="AHY"/>
    <s v="F"/>
    <n v="9"/>
    <n v="2008"/>
    <n v="2008"/>
    <n v="4"/>
    <x v="0"/>
    <s v="4B"/>
    <x v="6"/>
    <n v="1"/>
    <n v="7"/>
    <x v="0"/>
    <x v="0"/>
  </r>
  <r>
    <n v="3847"/>
    <n v="103887482"/>
    <s v="Recovery"/>
    <n v="200"/>
    <s v="AHY"/>
    <s v="F"/>
    <n v="1"/>
    <n v="2011"/>
    <n v="2010"/>
    <n v="6"/>
    <x v="0"/>
    <s v="6B"/>
    <x v="2"/>
    <n v="1"/>
    <n v="7"/>
    <x v="0"/>
    <x v="0"/>
  </r>
  <r>
    <n v="3849"/>
    <n v="103887484"/>
    <s v="Recovery"/>
    <n v="200"/>
    <s v="AHY"/>
    <s v="M"/>
    <n v="12"/>
    <n v="2009"/>
    <n v="2009"/>
    <n v="5"/>
    <x v="0"/>
    <s v="5B"/>
    <x v="8"/>
    <n v="1"/>
    <n v="7"/>
    <x v="0"/>
    <x v="0"/>
  </r>
  <r>
    <n v="3854"/>
    <n v="103887489"/>
    <s v="Recovery"/>
    <n v="200"/>
    <s v="AHY"/>
    <s v="M"/>
    <n v="1"/>
    <n v="2015"/>
    <n v="2014"/>
    <n v="10"/>
    <x v="0"/>
    <s v="10B"/>
    <x v="7"/>
    <n v="1"/>
    <n v="7"/>
    <x v="0"/>
    <x v="0"/>
  </r>
  <r>
    <n v="3858"/>
    <n v="103887493"/>
    <s v="Recovery"/>
    <n v="200"/>
    <s v="AHY"/>
    <s v="F"/>
    <n v="1"/>
    <n v="2012"/>
    <n v="2011"/>
    <n v="7"/>
    <x v="0"/>
    <s v="7B"/>
    <x v="9"/>
    <n v="1"/>
    <n v="7"/>
    <x v="0"/>
    <x v="0"/>
  </r>
  <r>
    <n v="3861"/>
    <n v="103887496"/>
    <s v="Recovery"/>
    <n v="200"/>
    <s v="AHY"/>
    <s v="F"/>
    <n v="9"/>
    <n v="2009"/>
    <n v="2009"/>
    <n v="5"/>
    <x v="0"/>
    <s v="5B"/>
    <x v="8"/>
    <n v="1"/>
    <n v="7"/>
    <x v="0"/>
    <x v="0"/>
  </r>
  <r>
    <n v="3870"/>
    <n v="104898001"/>
    <s v="Recovery"/>
    <n v="200"/>
    <s v="AHY"/>
    <s v="F"/>
    <n v="1"/>
    <n v="2012"/>
    <n v="2011"/>
    <n v="7"/>
    <x v="0"/>
    <s v="7B"/>
    <x v="9"/>
    <n v="1"/>
    <n v="7"/>
    <x v="0"/>
    <x v="0"/>
  </r>
  <r>
    <n v="3871"/>
    <n v="104898002"/>
    <s v="Recovery"/>
    <n v="200"/>
    <s v="AHY"/>
    <s v="F"/>
    <n v="9"/>
    <n v="2011"/>
    <n v="2011"/>
    <n v="7"/>
    <x v="0"/>
    <s v="7B"/>
    <x v="9"/>
    <n v="1"/>
    <n v="7"/>
    <x v="0"/>
    <x v="0"/>
  </r>
  <r>
    <n v="3876"/>
    <n v="104898007"/>
    <s v="Recovery"/>
    <n v="200"/>
    <s v="AHY"/>
    <s v="F"/>
    <n v="1"/>
    <n v="2013"/>
    <n v="2012"/>
    <n v="8"/>
    <x v="0"/>
    <s v="8B"/>
    <x v="3"/>
    <n v="1"/>
    <n v="7"/>
    <x v="0"/>
    <x v="0"/>
  </r>
  <r>
    <n v="3877"/>
    <n v="104898008"/>
    <s v="Recovery"/>
    <n v="200"/>
    <s v="AHY"/>
    <s v="M"/>
    <n v="12"/>
    <n v="2008"/>
    <n v="2008"/>
    <n v="4"/>
    <x v="0"/>
    <s v="4B"/>
    <x v="6"/>
    <n v="1"/>
    <n v="7"/>
    <x v="0"/>
    <x v="0"/>
  </r>
  <r>
    <n v="3882"/>
    <n v="104898013"/>
    <s v="Recovery"/>
    <n v="200"/>
    <s v="AHY"/>
    <s v="M"/>
    <n v="11"/>
    <n v="2011"/>
    <n v="2011"/>
    <n v="7"/>
    <x v="0"/>
    <s v="7B"/>
    <x v="9"/>
    <n v="1"/>
    <n v="7"/>
    <x v="0"/>
    <x v="0"/>
  </r>
  <r>
    <n v="3884"/>
    <n v="104898015"/>
    <s v="Recovery"/>
    <n v="200"/>
    <s v="AHY"/>
    <s v="M"/>
    <n v="9"/>
    <n v="2010"/>
    <n v="2010"/>
    <n v="6"/>
    <x v="0"/>
    <s v="6B"/>
    <x v="2"/>
    <n v="1"/>
    <n v="7"/>
    <x v="0"/>
    <x v="0"/>
  </r>
  <r>
    <n v="3888"/>
    <n v="104898019"/>
    <s v="Recovery"/>
    <n v="200"/>
    <s v="AHY"/>
    <s v="M"/>
    <n v="1"/>
    <n v="2015"/>
    <n v="2014"/>
    <n v="10"/>
    <x v="0"/>
    <s v="10B"/>
    <x v="7"/>
    <n v="1"/>
    <n v="7"/>
    <x v="0"/>
    <x v="0"/>
  </r>
  <r>
    <n v="3889"/>
    <n v="104898020"/>
    <s v="Recovery"/>
    <n v="200"/>
    <s v="AHY"/>
    <s v="M"/>
    <n v="9"/>
    <n v="2008"/>
    <n v="2008"/>
    <n v="4"/>
    <x v="0"/>
    <s v="4B"/>
    <x v="6"/>
    <n v="1"/>
    <n v="7"/>
    <x v="0"/>
    <x v="0"/>
  </r>
  <r>
    <n v="3899"/>
    <n v="104898030"/>
    <s v="Recovery"/>
    <n v="200"/>
    <s v="AHY"/>
    <s v="M"/>
    <n v="1"/>
    <n v="2009"/>
    <n v="2008"/>
    <n v="4"/>
    <x v="0"/>
    <s v="4B"/>
    <x v="6"/>
    <n v="1"/>
    <n v="7"/>
    <x v="0"/>
    <x v="0"/>
  </r>
  <r>
    <n v="3901"/>
    <n v="104898032"/>
    <s v="Recovery"/>
    <n v="200"/>
    <s v="AHY"/>
    <s v="F"/>
    <n v="9"/>
    <n v="2009"/>
    <n v="2009"/>
    <n v="5"/>
    <x v="0"/>
    <s v="5B"/>
    <x v="8"/>
    <n v="1"/>
    <n v="7"/>
    <x v="0"/>
    <x v="0"/>
  </r>
  <r>
    <n v="3906"/>
    <n v="104898037"/>
    <s v="Recovery"/>
    <n v="200"/>
    <s v="AHY"/>
    <s v="F"/>
    <n v="1"/>
    <n v="2009"/>
    <n v="2008"/>
    <n v="4"/>
    <x v="0"/>
    <s v="4B"/>
    <x v="6"/>
    <n v="1"/>
    <n v="7"/>
    <x v="0"/>
    <x v="0"/>
  </r>
  <r>
    <n v="3907"/>
    <n v="104898038"/>
    <s v="Recovery"/>
    <n v="200"/>
    <s v="AHY"/>
    <s v="M"/>
    <n v="11"/>
    <n v="2010"/>
    <n v="2010"/>
    <n v="6"/>
    <x v="0"/>
    <s v="6B"/>
    <x v="2"/>
    <n v="1"/>
    <n v="7"/>
    <x v="0"/>
    <x v="0"/>
  </r>
  <r>
    <n v="3908"/>
    <n v="104898039"/>
    <s v="Recovery"/>
    <n v="200"/>
    <s v="AHY"/>
    <s v="F"/>
    <n v="9"/>
    <n v="2015"/>
    <n v="2015"/>
    <n v="11"/>
    <x v="0"/>
    <s v="11B"/>
    <x v="14"/>
    <n v="1"/>
    <n v="7"/>
    <x v="0"/>
    <x v="0"/>
  </r>
  <r>
    <n v="3909"/>
    <n v="104898040"/>
    <s v="Recovery"/>
    <n v="200"/>
    <s v="AHY"/>
    <s v="M"/>
    <n v="9"/>
    <n v="2015"/>
    <n v="2015"/>
    <n v="11"/>
    <x v="0"/>
    <s v="11B"/>
    <x v="14"/>
    <n v="1"/>
    <n v="7"/>
    <x v="0"/>
    <x v="0"/>
  </r>
  <r>
    <n v="3910"/>
    <n v="104898041"/>
    <s v="Recovery"/>
    <n v="200"/>
    <s v="AHY"/>
    <s v="M"/>
    <n v="9"/>
    <n v="2009"/>
    <n v="2009"/>
    <n v="5"/>
    <x v="0"/>
    <s v="5B"/>
    <x v="8"/>
    <n v="1"/>
    <n v="7"/>
    <x v="0"/>
    <x v="0"/>
  </r>
  <r>
    <n v="3912"/>
    <n v="104898043"/>
    <s v="Recovery"/>
    <n v="200"/>
    <s v="AHY"/>
    <s v="F"/>
    <n v="1"/>
    <n v="2009"/>
    <n v="2008"/>
    <n v="4"/>
    <x v="0"/>
    <s v="4B"/>
    <x v="6"/>
    <n v="1"/>
    <n v="7"/>
    <x v="0"/>
    <x v="0"/>
  </r>
  <r>
    <n v="3913"/>
    <n v="104898044"/>
    <s v="Recovery"/>
    <n v="200"/>
    <s v="AHY"/>
    <s v="M"/>
    <n v="9"/>
    <n v="2009"/>
    <n v="2009"/>
    <n v="5"/>
    <x v="0"/>
    <s v="5B"/>
    <x v="8"/>
    <n v="1"/>
    <n v="7"/>
    <x v="0"/>
    <x v="0"/>
  </r>
  <r>
    <n v="3914"/>
    <n v="104898045"/>
    <s v="Recovery"/>
    <n v="200"/>
    <s v="AHY"/>
    <s v="F"/>
    <n v="9"/>
    <n v="2013"/>
    <n v="2013"/>
    <n v="9"/>
    <x v="0"/>
    <s v="9B"/>
    <x v="4"/>
    <n v="1"/>
    <n v="7"/>
    <x v="0"/>
    <x v="0"/>
  </r>
  <r>
    <n v="3915"/>
    <n v="104898046"/>
    <s v="Recovery"/>
    <n v="200"/>
    <s v="AHY"/>
    <s v="F"/>
    <n v="11"/>
    <n v="2013"/>
    <n v="2013"/>
    <n v="9"/>
    <x v="0"/>
    <s v="9B"/>
    <x v="4"/>
    <n v="1"/>
    <n v="7"/>
    <x v="0"/>
    <x v="0"/>
  </r>
  <r>
    <n v="3916"/>
    <n v="104898047"/>
    <s v="Recovery"/>
    <n v="200"/>
    <s v="AHY"/>
    <s v="F"/>
    <n v="1"/>
    <n v="2012"/>
    <n v="2011"/>
    <n v="7"/>
    <x v="0"/>
    <s v="7B"/>
    <x v="9"/>
    <n v="1"/>
    <n v="7"/>
    <x v="0"/>
    <x v="0"/>
  </r>
  <r>
    <n v="3920"/>
    <n v="104898051"/>
    <s v="Recovery"/>
    <n v="200"/>
    <s v="AHY"/>
    <s v="M"/>
    <n v="1"/>
    <n v="2012"/>
    <n v="2011"/>
    <n v="7"/>
    <x v="0"/>
    <s v="7B"/>
    <x v="9"/>
    <n v="1"/>
    <n v="7"/>
    <x v="0"/>
    <x v="0"/>
  </r>
  <r>
    <n v="3925"/>
    <n v="104898056"/>
    <s v="Recovery"/>
    <n v="200"/>
    <s v="AHY"/>
    <s v="M"/>
    <n v="11"/>
    <n v="2015"/>
    <n v="2015"/>
    <n v="11"/>
    <x v="0"/>
    <s v="11B"/>
    <x v="14"/>
    <n v="1"/>
    <n v="7"/>
    <x v="0"/>
    <x v="0"/>
  </r>
  <r>
    <n v="3926"/>
    <n v="104898057"/>
    <s v="Recovery"/>
    <n v="200"/>
    <s v="AHY"/>
    <s v="F"/>
    <n v="9"/>
    <n v="2009"/>
    <n v="2009"/>
    <n v="5"/>
    <x v="0"/>
    <s v="5B"/>
    <x v="8"/>
    <n v="1"/>
    <n v="7"/>
    <x v="0"/>
    <x v="0"/>
  </r>
  <r>
    <n v="3934"/>
    <n v="104898065"/>
    <s v="Recovery"/>
    <n v="200"/>
    <s v="AHY"/>
    <s v="M"/>
    <n v="1"/>
    <n v="2009"/>
    <n v="2008"/>
    <n v="4"/>
    <x v="0"/>
    <s v="4B"/>
    <x v="6"/>
    <n v="1"/>
    <n v="7"/>
    <x v="0"/>
    <x v="0"/>
  </r>
  <r>
    <n v="3935"/>
    <n v="104898066"/>
    <s v="Recovery"/>
    <n v="200"/>
    <s v="AHY"/>
    <s v="M"/>
    <n v="9"/>
    <n v="2009"/>
    <n v="2009"/>
    <n v="5"/>
    <x v="0"/>
    <s v="5B"/>
    <x v="8"/>
    <n v="1"/>
    <n v="7"/>
    <x v="0"/>
    <x v="0"/>
  </r>
  <r>
    <n v="3936"/>
    <n v="104898067"/>
    <s v="Recovery"/>
    <n v="200"/>
    <s v="AHY"/>
    <s v="M"/>
    <n v="1"/>
    <n v="2009"/>
    <n v="2008"/>
    <n v="4"/>
    <x v="0"/>
    <s v="4B"/>
    <x v="6"/>
    <n v="1"/>
    <n v="7"/>
    <x v="0"/>
    <x v="0"/>
  </r>
  <r>
    <n v="3941"/>
    <n v="104898072"/>
    <s v="Recovery"/>
    <n v="200"/>
    <s v="AHY"/>
    <s v="F"/>
    <n v="1"/>
    <n v="2009"/>
    <n v="2008"/>
    <n v="4"/>
    <x v="0"/>
    <s v="4B"/>
    <x v="6"/>
    <n v="1"/>
    <n v="7"/>
    <x v="0"/>
    <x v="0"/>
  </r>
  <r>
    <n v="3945"/>
    <n v="104898076"/>
    <s v="Recovery"/>
    <n v="200"/>
    <s v="AHY"/>
    <s v="F"/>
    <n v="9"/>
    <n v="2009"/>
    <n v="2009"/>
    <n v="5"/>
    <x v="0"/>
    <s v="5B"/>
    <x v="8"/>
    <n v="1"/>
    <n v="7"/>
    <x v="0"/>
    <x v="0"/>
  </r>
  <r>
    <n v="3946"/>
    <n v="104898077"/>
    <s v="Recovery"/>
    <n v="200"/>
    <s v="AHY"/>
    <s v="M"/>
    <n v="11"/>
    <n v="2012"/>
    <n v="2012"/>
    <n v="8"/>
    <x v="0"/>
    <s v="8B"/>
    <x v="3"/>
    <n v="1"/>
    <n v="7"/>
    <x v="0"/>
    <x v="0"/>
  </r>
  <r>
    <n v="3948"/>
    <n v="104898079"/>
    <s v="Recovery"/>
    <n v="200"/>
    <s v="AHY"/>
    <s v="M"/>
    <n v="9"/>
    <n v="2010"/>
    <n v="2010"/>
    <n v="6"/>
    <x v="0"/>
    <s v="6B"/>
    <x v="2"/>
    <n v="1"/>
    <n v="7"/>
    <x v="0"/>
    <x v="0"/>
  </r>
  <r>
    <n v="3952"/>
    <n v="104898083"/>
    <s v="Recovery"/>
    <n v="200"/>
    <s v="AHY"/>
    <s v="F"/>
    <n v="9"/>
    <n v="2008"/>
    <n v="2008"/>
    <n v="4"/>
    <x v="0"/>
    <s v="4B"/>
    <x v="6"/>
    <n v="1"/>
    <n v="7"/>
    <x v="0"/>
    <x v="0"/>
  </r>
  <r>
    <n v="3955"/>
    <n v="104898086"/>
    <s v="Recovery"/>
    <n v="200"/>
    <s v="AHY"/>
    <s v="F"/>
    <n v="9"/>
    <n v="2008"/>
    <n v="2008"/>
    <n v="4"/>
    <x v="0"/>
    <s v="4B"/>
    <x v="6"/>
    <n v="1"/>
    <n v="7"/>
    <x v="0"/>
    <x v="0"/>
  </r>
  <r>
    <n v="3956"/>
    <n v="104898087"/>
    <s v="Recovery"/>
    <n v="200"/>
    <s v="AHY"/>
    <s v="M"/>
    <n v="11"/>
    <n v="2014"/>
    <n v="2014"/>
    <n v="10"/>
    <x v="0"/>
    <s v="10B"/>
    <x v="7"/>
    <n v="1"/>
    <n v="7"/>
    <x v="0"/>
    <x v="0"/>
  </r>
  <r>
    <n v="3960"/>
    <n v="104898091"/>
    <s v="Recovery"/>
    <n v="200"/>
    <s v="AHY"/>
    <s v="M"/>
    <n v="1"/>
    <n v="2009"/>
    <n v="2008"/>
    <n v="4"/>
    <x v="0"/>
    <s v="4B"/>
    <x v="6"/>
    <n v="1"/>
    <n v="7"/>
    <x v="0"/>
    <x v="0"/>
  </r>
  <r>
    <n v="3970"/>
    <n v="104898101"/>
    <s v="Recovery"/>
    <n v="200"/>
    <s v="AHY"/>
    <s v="F"/>
    <n v="1"/>
    <n v="2010"/>
    <n v="2009"/>
    <n v="5"/>
    <x v="0"/>
    <s v="5B"/>
    <x v="8"/>
    <n v="1"/>
    <n v="7"/>
    <x v="0"/>
    <x v="0"/>
  </r>
  <r>
    <n v="3971"/>
    <n v="104898102"/>
    <s v="Recovery"/>
    <n v="200"/>
    <s v="AHY"/>
    <s v="M"/>
    <n v="9"/>
    <n v="2008"/>
    <n v="2008"/>
    <n v="4"/>
    <x v="0"/>
    <s v="4B"/>
    <x v="6"/>
    <n v="1"/>
    <n v="7"/>
    <x v="0"/>
    <x v="0"/>
  </r>
  <r>
    <n v="3976"/>
    <n v="104898107"/>
    <s v="Recovery"/>
    <n v="200"/>
    <s v="AHY"/>
    <s v="F"/>
    <n v="1"/>
    <n v="2009"/>
    <n v="2008"/>
    <n v="4"/>
    <x v="0"/>
    <s v="4B"/>
    <x v="6"/>
    <n v="1"/>
    <n v="7"/>
    <x v="0"/>
    <x v="0"/>
  </r>
  <r>
    <n v="3980"/>
    <n v="104898111"/>
    <s v="Recovery"/>
    <n v="200"/>
    <s v="AHY"/>
    <s v="F"/>
    <n v="9"/>
    <n v="2014"/>
    <n v="2014"/>
    <n v="10"/>
    <x v="0"/>
    <s v="10B"/>
    <x v="7"/>
    <n v="1"/>
    <n v="7"/>
    <x v="0"/>
    <x v="0"/>
  </r>
  <r>
    <n v="3981"/>
    <n v="104898112"/>
    <s v="Recovery"/>
    <n v="200"/>
    <s v="HY"/>
    <s v="F"/>
    <n v="1"/>
    <n v="2009"/>
    <n v="2008"/>
    <n v="4"/>
    <x v="0"/>
    <s v="4B"/>
    <x v="6"/>
    <n v="1"/>
    <n v="7"/>
    <x v="0"/>
    <x v="0"/>
  </r>
  <r>
    <n v="3983"/>
    <n v="104898114"/>
    <s v="Recovery"/>
    <n v="200"/>
    <s v="AHY"/>
    <s v="F"/>
    <n v="1"/>
    <n v="2009"/>
    <n v="2008"/>
    <n v="4"/>
    <x v="0"/>
    <s v="4B"/>
    <x v="6"/>
    <n v="1"/>
    <n v="7"/>
    <x v="0"/>
    <x v="0"/>
  </r>
  <r>
    <n v="3985"/>
    <n v="104898116"/>
    <s v="Recovery"/>
    <n v="200"/>
    <s v="HY"/>
    <s v="F"/>
    <n v="1"/>
    <n v="2009"/>
    <n v="2008"/>
    <n v="4"/>
    <x v="0"/>
    <s v="4B"/>
    <x v="6"/>
    <n v="1"/>
    <n v="7"/>
    <x v="0"/>
    <x v="0"/>
  </r>
  <r>
    <n v="3986"/>
    <n v="104898117"/>
    <s v="Recovery"/>
    <n v="200"/>
    <s v="HY"/>
    <s v="M"/>
    <n v="1"/>
    <n v="2009"/>
    <n v="2008"/>
    <n v="4"/>
    <x v="0"/>
    <s v="4B"/>
    <x v="6"/>
    <n v="1"/>
    <n v="7"/>
    <x v="0"/>
    <x v="0"/>
  </r>
  <r>
    <n v="3987"/>
    <n v="104898118"/>
    <s v="Recovery"/>
    <n v="200"/>
    <s v="AHY"/>
    <s v="F"/>
    <n v="1"/>
    <n v="2012"/>
    <n v="2011"/>
    <n v="7"/>
    <x v="0"/>
    <s v="7B"/>
    <x v="9"/>
    <n v="1"/>
    <n v="7"/>
    <x v="0"/>
    <x v="0"/>
  </r>
  <r>
    <n v="3988"/>
    <n v="104898119"/>
    <s v="Recovery"/>
    <n v="200"/>
    <s v="AHY"/>
    <s v="F"/>
    <n v="9"/>
    <n v="2009"/>
    <n v="2009"/>
    <n v="5"/>
    <x v="0"/>
    <s v="5B"/>
    <x v="8"/>
    <n v="1"/>
    <n v="7"/>
    <x v="0"/>
    <x v="0"/>
  </r>
  <r>
    <n v="3992"/>
    <n v="104898123"/>
    <s v="Recovery"/>
    <n v="200"/>
    <s v="HY"/>
    <s v="M"/>
    <n v="1"/>
    <n v="2009"/>
    <n v="2008"/>
    <n v="4"/>
    <x v="0"/>
    <s v="4B"/>
    <x v="6"/>
    <n v="1"/>
    <n v="7"/>
    <x v="0"/>
    <x v="0"/>
  </r>
  <r>
    <n v="3996"/>
    <n v="104898127"/>
    <s v="Recovery"/>
    <n v="200"/>
    <s v="AHY"/>
    <s v="F"/>
    <n v="12"/>
    <n v="2014"/>
    <n v="2014"/>
    <n v="10"/>
    <x v="0"/>
    <s v="10B"/>
    <x v="7"/>
    <n v="1"/>
    <n v="7"/>
    <x v="0"/>
    <x v="0"/>
  </r>
  <r>
    <n v="3999"/>
    <n v="104898130"/>
    <s v="Recovery"/>
    <n v="200"/>
    <s v="AHY"/>
    <s v="M"/>
    <n v="12"/>
    <n v="2009"/>
    <n v="2009"/>
    <n v="5"/>
    <x v="0"/>
    <s v="5B"/>
    <x v="8"/>
    <n v="1"/>
    <n v="7"/>
    <x v="0"/>
    <x v="0"/>
  </r>
  <r>
    <n v="4001"/>
    <n v="104898132"/>
    <s v="Recovery"/>
    <n v="200"/>
    <s v="AHY"/>
    <s v="M"/>
    <n v="9"/>
    <n v="2009"/>
    <n v="2009"/>
    <n v="5"/>
    <x v="0"/>
    <s v="5B"/>
    <x v="8"/>
    <n v="1"/>
    <n v="7"/>
    <x v="0"/>
    <x v="0"/>
  </r>
  <r>
    <n v="4002"/>
    <n v="104898133"/>
    <s v="Recovery"/>
    <n v="200"/>
    <s v="AHY"/>
    <s v="M"/>
    <n v="9"/>
    <n v="2008"/>
    <n v="2008"/>
    <n v="4"/>
    <x v="0"/>
    <s v="4B"/>
    <x v="6"/>
    <n v="1"/>
    <n v="7"/>
    <x v="0"/>
    <x v="0"/>
  </r>
  <r>
    <n v="4004"/>
    <n v="104898135"/>
    <s v="Recovery"/>
    <n v="200"/>
    <s v="AHY"/>
    <s v="M"/>
    <n v="1"/>
    <n v="2010"/>
    <n v="2009"/>
    <n v="5"/>
    <x v="0"/>
    <s v="5B"/>
    <x v="8"/>
    <n v="1"/>
    <n v="7"/>
    <x v="0"/>
    <x v="0"/>
  </r>
  <r>
    <n v="4005"/>
    <n v="104898136"/>
    <s v="Recovery"/>
    <n v="200"/>
    <s v="AHY"/>
    <s v="M"/>
    <n v="1"/>
    <n v="2009"/>
    <n v="2008"/>
    <n v="4"/>
    <x v="0"/>
    <s v="4B"/>
    <x v="6"/>
    <n v="1"/>
    <n v="7"/>
    <x v="0"/>
    <x v="0"/>
  </r>
  <r>
    <n v="4007"/>
    <n v="104898138"/>
    <s v="Recovery"/>
    <n v="200"/>
    <s v="AHY"/>
    <s v="F"/>
    <n v="12"/>
    <n v="2014"/>
    <n v="2014"/>
    <n v="10"/>
    <x v="0"/>
    <s v="10B"/>
    <x v="7"/>
    <n v="1"/>
    <n v="7"/>
    <x v="0"/>
    <x v="0"/>
  </r>
  <r>
    <n v="4008"/>
    <n v="104898139"/>
    <s v="Recovery"/>
    <n v="200"/>
    <s v="AHY"/>
    <s v="M"/>
    <n v="1"/>
    <n v="2009"/>
    <n v="2008"/>
    <n v="4"/>
    <x v="0"/>
    <s v="4B"/>
    <x v="6"/>
    <n v="1"/>
    <n v="7"/>
    <x v="0"/>
    <x v="0"/>
  </r>
  <r>
    <n v="4010"/>
    <n v="104898141"/>
    <s v="Recovery"/>
    <n v="200"/>
    <s v="AHY"/>
    <s v="F"/>
    <n v="1"/>
    <n v="2012"/>
    <n v="2011"/>
    <n v="7"/>
    <x v="0"/>
    <s v="7B"/>
    <x v="9"/>
    <n v="1"/>
    <n v="7"/>
    <x v="0"/>
    <x v="0"/>
  </r>
  <r>
    <n v="4011"/>
    <n v="104898142"/>
    <s v="Recovery"/>
    <n v="200"/>
    <s v="AHY"/>
    <s v="F"/>
    <n v="12"/>
    <n v="2009"/>
    <n v="2009"/>
    <n v="5"/>
    <x v="0"/>
    <s v="5B"/>
    <x v="8"/>
    <n v="1"/>
    <n v="7"/>
    <x v="0"/>
    <x v="0"/>
  </r>
  <r>
    <n v="4012"/>
    <n v="104898143"/>
    <s v="Recovery"/>
    <n v="200"/>
    <s v="AHY"/>
    <s v="M"/>
    <n v="11"/>
    <n v="2014"/>
    <n v="2014"/>
    <n v="10"/>
    <x v="0"/>
    <s v="10B"/>
    <x v="7"/>
    <n v="1"/>
    <n v="7"/>
    <x v="0"/>
    <x v="0"/>
  </r>
  <r>
    <n v="4013"/>
    <n v="104898144"/>
    <s v="Recovery"/>
    <n v="200"/>
    <s v="AHY"/>
    <s v="M"/>
    <n v="1"/>
    <n v="2010"/>
    <n v="2009"/>
    <n v="5"/>
    <x v="0"/>
    <s v="5B"/>
    <x v="8"/>
    <n v="1"/>
    <n v="7"/>
    <x v="0"/>
    <x v="0"/>
  </r>
  <r>
    <n v="4014"/>
    <n v="104898145"/>
    <s v="Recovery"/>
    <n v="200"/>
    <s v="AHY"/>
    <s v="M"/>
    <n v="12"/>
    <n v="2009"/>
    <n v="2009"/>
    <n v="5"/>
    <x v="0"/>
    <s v="5B"/>
    <x v="8"/>
    <n v="1"/>
    <n v="7"/>
    <x v="0"/>
    <x v="0"/>
  </r>
  <r>
    <n v="4016"/>
    <n v="104898147"/>
    <s v="Recovery"/>
    <n v="200"/>
    <s v="AHY"/>
    <s v="M"/>
    <n v="10"/>
    <n v="2009"/>
    <n v="2009"/>
    <n v="5"/>
    <x v="0"/>
    <s v="5B"/>
    <x v="8"/>
    <n v="1"/>
    <n v="52"/>
    <x v="11"/>
    <x v="1"/>
  </r>
  <r>
    <n v="4017"/>
    <n v="104898148"/>
    <s v="Recovery"/>
    <n v="200"/>
    <s v="AHY"/>
    <s v="F"/>
    <n v="12"/>
    <n v="2008"/>
    <n v="2008"/>
    <n v="4"/>
    <x v="0"/>
    <s v="4B"/>
    <x v="6"/>
    <n v="1"/>
    <n v="7"/>
    <x v="0"/>
    <x v="0"/>
  </r>
  <r>
    <n v="4022"/>
    <n v="104898153"/>
    <s v="Recovery"/>
    <n v="200"/>
    <s v="AHY"/>
    <s v="M"/>
    <n v="9"/>
    <n v="2014"/>
    <n v="2014"/>
    <n v="10"/>
    <x v="0"/>
    <s v="10B"/>
    <x v="7"/>
    <n v="1"/>
    <n v="7"/>
    <x v="0"/>
    <x v="0"/>
  </r>
  <r>
    <n v="4023"/>
    <n v="104898154"/>
    <s v="Recovery"/>
    <n v="200"/>
    <s v="AHY"/>
    <s v="F"/>
    <n v="9"/>
    <n v="2011"/>
    <n v="2011"/>
    <n v="7"/>
    <x v="0"/>
    <s v="7B"/>
    <x v="9"/>
    <n v="1"/>
    <n v="7"/>
    <x v="0"/>
    <x v="0"/>
  </r>
  <r>
    <n v="4024"/>
    <n v="104898155"/>
    <s v="Recovery"/>
    <n v="200"/>
    <s v="AHY"/>
    <s v="M"/>
    <n v="1"/>
    <n v="2010"/>
    <n v="2009"/>
    <n v="5"/>
    <x v="0"/>
    <s v="5B"/>
    <x v="8"/>
    <n v="1"/>
    <n v="7"/>
    <x v="0"/>
    <x v="0"/>
  </r>
  <r>
    <n v="4025"/>
    <n v="104898156"/>
    <s v="Recovery"/>
    <n v="200"/>
    <s v="AHY"/>
    <s v="F"/>
    <n v="12"/>
    <n v="2009"/>
    <n v="2009"/>
    <n v="5"/>
    <x v="0"/>
    <s v="5B"/>
    <x v="8"/>
    <n v="1"/>
    <n v="7"/>
    <x v="0"/>
    <x v="0"/>
  </r>
  <r>
    <n v="4026"/>
    <n v="104898157"/>
    <s v="Recovery"/>
    <n v="200"/>
    <s v="AHY"/>
    <s v="F"/>
    <n v="1"/>
    <n v="2010"/>
    <n v="2009"/>
    <n v="5"/>
    <x v="0"/>
    <s v="5B"/>
    <x v="8"/>
    <n v="1"/>
    <n v="7"/>
    <x v="0"/>
    <x v="0"/>
  </r>
  <r>
    <n v="4027"/>
    <n v="104898158"/>
    <s v="Recovery"/>
    <n v="200"/>
    <s v="AHY"/>
    <s v="M"/>
    <n v="1"/>
    <n v="2010"/>
    <n v="2009"/>
    <n v="5"/>
    <x v="0"/>
    <s v="5B"/>
    <x v="8"/>
    <n v="1"/>
    <n v="7"/>
    <x v="0"/>
    <x v="0"/>
  </r>
  <r>
    <n v="4028"/>
    <n v="104898159"/>
    <s v="Recovery"/>
    <n v="200"/>
    <s v="AHY"/>
    <s v="F"/>
    <n v="1"/>
    <n v="2009"/>
    <n v="2008"/>
    <n v="4"/>
    <x v="0"/>
    <s v="4B"/>
    <x v="6"/>
    <n v="1"/>
    <n v="7"/>
    <x v="0"/>
    <x v="0"/>
  </r>
  <r>
    <n v="4030"/>
    <n v="104898161"/>
    <s v="Recovery"/>
    <n v="200"/>
    <s v="AHY"/>
    <s v="F"/>
    <n v="1"/>
    <n v="2009"/>
    <n v="2008"/>
    <n v="4"/>
    <x v="0"/>
    <s v="4B"/>
    <x v="6"/>
    <n v="1"/>
    <n v="7"/>
    <x v="0"/>
    <x v="0"/>
  </r>
  <r>
    <n v="4031"/>
    <n v="104898162"/>
    <s v="Recovery"/>
    <n v="200"/>
    <s v="AHY"/>
    <s v="F"/>
    <n v="9"/>
    <n v="2009"/>
    <n v="2009"/>
    <n v="5"/>
    <x v="0"/>
    <s v="5B"/>
    <x v="8"/>
    <n v="1"/>
    <n v="7"/>
    <x v="0"/>
    <x v="0"/>
  </r>
  <r>
    <n v="4034"/>
    <n v="104898165"/>
    <s v="Recovery"/>
    <n v="200"/>
    <s v="AHY"/>
    <s v="M"/>
    <n v="1"/>
    <n v="2012"/>
    <n v="2011"/>
    <n v="7"/>
    <x v="0"/>
    <s v="7B"/>
    <x v="9"/>
    <n v="1"/>
    <n v="7"/>
    <x v="0"/>
    <x v="0"/>
  </r>
  <r>
    <n v="4035"/>
    <n v="104898166"/>
    <s v="Recovery"/>
    <n v="200"/>
    <s v="AHY"/>
    <s v="M"/>
    <n v="9"/>
    <n v="2008"/>
    <n v="2008"/>
    <n v="4"/>
    <x v="0"/>
    <s v="4B"/>
    <x v="6"/>
    <n v="1"/>
    <n v="7"/>
    <x v="0"/>
    <x v="0"/>
  </r>
  <r>
    <n v="4038"/>
    <n v="104898169"/>
    <s v="Recovery"/>
    <n v="200"/>
    <s v="AHY"/>
    <s v="M"/>
    <n v="1"/>
    <n v="2009"/>
    <n v="2008"/>
    <n v="4"/>
    <x v="0"/>
    <s v="4B"/>
    <x v="6"/>
    <n v="1"/>
    <n v="7"/>
    <x v="0"/>
    <x v="0"/>
  </r>
  <r>
    <n v="4048"/>
    <n v="104898179"/>
    <s v="Recovery"/>
    <n v="200"/>
    <s v="AHY"/>
    <s v="M"/>
    <n v="9"/>
    <n v="2008"/>
    <n v="2008"/>
    <n v="4"/>
    <x v="0"/>
    <s v="4B"/>
    <x v="6"/>
    <n v="1"/>
    <n v="7"/>
    <x v="0"/>
    <x v="0"/>
  </r>
  <r>
    <n v="4049"/>
    <n v="104898180"/>
    <s v="Recovery"/>
    <n v="200"/>
    <s v="AHY"/>
    <s v="F"/>
    <n v="1"/>
    <n v="2009"/>
    <n v="2008"/>
    <n v="4"/>
    <x v="0"/>
    <s v="4B"/>
    <x v="6"/>
    <n v="1"/>
    <n v="7"/>
    <x v="0"/>
    <x v="0"/>
  </r>
  <r>
    <n v="4053"/>
    <n v="104898184"/>
    <s v="Recovery"/>
    <n v="200"/>
    <s v="AHY"/>
    <s v="M"/>
    <n v="1"/>
    <n v="2010"/>
    <n v="2009"/>
    <n v="5"/>
    <x v="0"/>
    <s v="5B"/>
    <x v="8"/>
    <n v="1"/>
    <n v="7"/>
    <x v="0"/>
    <x v="0"/>
  </r>
  <r>
    <n v="4054"/>
    <n v="104898185"/>
    <s v="Recovery"/>
    <n v="200"/>
    <s v="AHY"/>
    <s v="M"/>
    <n v="1"/>
    <n v="2010"/>
    <n v="2009"/>
    <n v="5"/>
    <x v="0"/>
    <s v="5B"/>
    <x v="8"/>
    <n v="1"/>
    <n v="7"/>
    <x v="0"/>
    <x v="0"/>
  </r>
  <r>
    <n v="4055"/>
    <n v="104898186"/>
    <s v="Recovery"/>
    <n v="200"/>
    <s v="AHY"/>
    <s v="M"/>
    <n v="1"/>
    <n v="2013"/>
    <n v="2012"/>
    <n v="8"/>
    <x v="0"/>
    <s v="8B"/>
    <x v="3"/>
    <n v="1"/>
    <n v="7"/>
    <x v="0"/>
    <x v="0"/>
  </r>
  <r>
    <n v="4057"/>
    <n v="104898188"/>
    <s v="Recovery"/>
    <n v="200"/>
    <s v="AHY"/>
    <s v="M"/>
    <n v="12"/>
    <n v="2009"/>
    <n v="2009"/>
    <n v="5"/>
    <x v="0"/>
    <s v="5B"/>
    <x v="8"/>
    <n v="1"/>
    <n v="7"/>
    <x v="0"/>
    <x v="0"/>
  </r>
  <r>
    <n v="4059"/>
    <n v="104898190"/>
    <s v="Recovery"/>
    <n v="200"/>
    <s v="AHY"/>
    <s v="M"/>
    <n v="11"/>
    <n v="2010"/>
    <n v="2010"/>
    <n v="6"/>
    <x v="0"/>
    <s v="6B"/>
    <x v="2"/>
    <n v="1"/>
    <n v="7"/>
    <x v="0"/>
    <x v="0"/>
  </r>
  <r>
    <n v="4060"/>
    <n v="104898191"/>
    <s v="Recovery"/>
    <n v="200"/>
    <s v="AHY"/>
    <s v="M"/>
    <n v="11"/>
    <n v="2014"/>
    <n v="2014"/>
    <n v="10"/>
    <x v="0"/>
    <s v="10B"/>
    <x v="7"/>
    <n v="1"/>
    <n v="7"/>
    <x v="0"/>
    <x v="0"/>
  </r>
  <r>
    <n v="4062"/>
    <n v="104898193"/>
    <s v="Recovery"/>
    <n v="200"/>
    <s v="AHY"/>
    <s v="M"/>
    <n v="9"/>
    <n v="2017"/>
    <n v="2017"/>
    <n v="13"/>
    <x v="0"/>
    <s v="13B"/>
    <x v="13"/>
    <n v="1"/>
    <n v="7"/>
    <x v="0"/>
    <x v="0"/>
  </r>
  <r>
    <n v="4064"/>
    <n v="104898195"/>
    <s v="Recovery"/>
    <n v="200"/>
    <s v="AHY"/>
    <s v="F"/>
    <n v="9"/>
    <n v="2011"/>
    <n v="2011"/>
    <n v="7"/>
    <x v="0"/>
    <s v="7B"/>
    <x v="9"/>
    <n v="1"/>
    <n v="7"/>
    <x v="0"/>
    <x v="0"/>
  </r>
  <r>
    <n v="4068"/>
    <n v="104898199"/>
    <s v="Recovery"/>
    <n v="200"/>
    <s v="AHY"/>
    <s v="F"/>
    <n v="1"/>
    <n v="2013"/>
    <n v="2012"/>
    <n v="8"/>
    <x v="0"/>
    <s v="8B"/>
    <x v="3"/>
    <n v="1"/>
    <n v="7"/>
    <x v="0"/>
    <x v="0"/>
  </r>
  <r>
    <n v="4069"/>
    <n v="104898200"/>
    <s v="Recovery"/>
    <n v="200"/>
    <s v="AHY"/>
    <s v="M"/>
    <n v="9"/>
    <n v="2009"/>
    <n v="2009"/>
    <n v="5"/>
    <x v="0"/>
    <s v="5B"/>
    <x v="8"/>
    <n v="1"/>
    <n v="7"/>
    <x v="0"/>
    <x v="0"/>
  </r>
  <r>
    <n v="4077"/>
    <n v="104898208"/>
    <s v="Recovery"/>
    <n v="200"/>
    <s v="AHY"/>
    <s v="M"/>
    <n v="11"/>
    <n v="2011"/>
    <n v="2011"/>
    <n v="7"/>
    <x v="0"/>
    <s v="7B"/>
    <x v="9"/>
    <n v="1"/>
    <n v="7"/>
    <x v="0"/>
    <x v="0"/>
  </r>
  <r>
    <n v="4080"/>
    <n v="104898211"/>
    <s v="Recovery"/>
    <n v="200"/>
    <s v="AHY"/>
    <s v="F"/>
    <n v="10"/>
    <n v="2008"/>
    <n v="2008"/>
    <n v="4"/>
    <x v="0"/>
    <s v="4B"/>
    <x v="6"/>
    <n v="1"/>
    <n v="7"/>
    <x v="0"/>
    <x v="0"/>
  </r>
  <r>
    <n v="4081"/>
    <n v="104898212"/>
    <s v="Recovery"/>
    <n v="200"/>
    <s v="AHY"/>
    <s v="F"/>
    <n v="1"/>
    <n v="2010"/>
    <n v="2009"/>
    <n v="5"/>
    <x v="0"/>
    <s v="5B"/>
    <x v="8"/>
    <n v="1"/>
    <n v="7"/>
    <x v="0"/>
    <x v="0"/>
  </r>
  <r>
    <n v="4082"/>
    <n v="104898213"/>
    <s v="Recovery"/>
    <n v="200"/>
    <s v="AHY"/>
    <s v="F"/>
    <n v="9"/>
    <n v="2009"/>
    <n v="2009"/>
    <n v="5"/>
    <x v="0"/>
    <s v="5B"/>
    <x v="8"/>
    <n v="1"/>
    <n v="7"/>
    <x v="0"/>
    <x v="0"/>
  </r>
  <r>
    <n v="4084"/>
    <n v="104898215"/>
    <s v="Recovery"/>
    <n v="200"/>
    <s v="AHY"/>
    <s v="F"/>
    <n v="9"/>
    <n v="2014"/>
    <n v="2014"/>
    <n v="10"/>
    <x v="0"/>
    <s v="10B"/>
    <x v="7"/>
    <n v="1"/>
    <n v="7"/>
    <x v="0"/>
    <x v="0"/>
  </r>
  <r>
    <n v="4085"/>
    <n v="104898216"/>
    <s v="Recovery"/>
    <n v="200"/>
    <s v="AHY"/>
    <s v="M"/>
    <n v="9"/>
    <n v="2009"/>
    <n v="2009"/>
    <n v="5"/>
    <x v="0"/>
    <s v="5B"/>
    <x v="8"/>
    <n v="1"/>
    <n v="7"/>
    <x v="0"/>
    <x v="0"/>
  </r>
  <r>
    <n v="4086"/>
    <n v="104898217"/>
    <s v="Recovery"/>
    <n v="200"/>
    <s v="AHY"/>
    <s v="M"/>
    <n v="9"/>
    <n v="2009"/>
    <n v="2009"/>
    <n v="5"/>
    <x v="0"/>
    <s v="5B"/>
    <x v="8"/>
    <n v="1"/>
    <n v="7"/>
    <x v="0"/>
    <x v="0"/>
  </r>
  <r>
    <n v="4087"/>
    <n v="104898218"/>
    <s v="Recovery"/>
    <n v="200"/>
    <s v="AHY"/>
    <s v="M"/>
    <n v="11"/>
    <n v="2012"/>
    <n v="2012"/>
    <n v="8"/>
    <x v="0"/>
    <s v="8B"/>
    <x v="3"/>
    <n v="1"/>
    <n v="7"/>
    <x v="0"/>
    <x v="0"/>
  </r>
  <r>
    <n v="4089"/>
    <n v="104898220"/>
    <s v="Recovery"/>
    <n v="200"/>
    <s v="AHY"/>
    <s v="M"/>
    <n v="10"/>
    <n v="2008"/>
    <n v="2008"/>
    <n v="4"/>
    <x v="0"/>
    <s v="4B"/>
    <x v="6"/>
    <n v="1"/>
    <n v="7"/>
    <x v="0"/>
    <x v="0"/>
  </r>
  <r>
    <n v="4090"/>
    <n v="104898221"/>
    <s v="Recovery"/>
    <n v="200"/>
    <s v="AHY"/>
    <s v="M"/>
    <n v="1"/>
    <n v="2014"/>
    <n v="2013"/>
    <n v="9"/>
    <x v="0"/>
    <s v="9B"/>
    <x v="4"/>
    <n v="1"/>
    <n v="7"/>
    <x v="0"/>
    <x v="0"/>
  </r>
  <r>
    <n v="4092"/>
    <n v="104898223"/>
    <s v="Recovery"/>
    <n v="200"/>
    <s v="AHY"/>
    <s v="M"/>
    <n v="12"/>
    <n v="2012"/>
    <n v="2012"/>
    <n v="8"/>
    <x v="0"/>
    <s v="8B"/>
    <x v="3"/>
    <n v="1"/>
    <n v="7"/>
    <x v="0"/>
    <x v="0"/>
  </r>
  <r>
    <n v="4093"/>
    <n v="104898224"/>
    <s v="Recovery"/>
    <n v="200"/>
    <s v="AHY"/>
    <s v="F"/>
    <n v="12"/>
    <n v="2015"/>
    <n v="2015"/>
    <n v="11"/>
    <x v="0"/>
    <s v="11B"/>
    <x v="14"/>
    <n v="1"/>
    <n v="7"/>
    <x v="0"/>
    <x v="0"/>
  </r>
  <r>
    <n v="4097"/>
    <n v="104898228"/>
    <s v="Recovery"/>
    <n v="200"/>
    <s v="AHY"/>
    <s v="F"/>
    <n v="11"/>
    <n v="2012"/>
    <n v="2012"/>
    <n v="8"/>
    <x v="0"/>
    <s v="8B"/>
    <x v="3"/>
    <n v="1"/>
    <n v="7"/>
    <x v="0"/>
    <x v="0"/>
  </r>
  <r>
    <n v="4103"/>
    <n v="104898234"/>
    <s v="Recovery"/>
    <n v="200"/>
    <s v="AHY"/>
    <s v="M"/>
    <n v="9"/>
    <n v="2009"/>
    <n v="2009"/>
    <n v="5"/>
    <x v="0"/>
    <s v="5B"/>
    <x v="8"/>
    <n v="1"/>
    <n v="7"/>
    <x v="0"/>
    <x v="0"/>
  </r>
  <r>
    <n v="4106"/>
    <n v="104898237"/>
    <s v="Recovery"/>
    <n v="200"/>
    <s v="AHY"/>
    <s v="F"/>
    <n v="10"/>
    <n v="2008"/>
    <n v="2008"/>
    <n v="4"/>
    <x v="0"/>
    <s v="4B"/>
    <x v="6"/>
    <n v="1"/>
    <n v="7"/>
    <x v="0"/>
    <x v="0"/>
  </r>
  <r>
    <n v="4114"/>
    <n v="104898245"/>
    <s v="Recovery"/>
    <n v="200"/>
    <s v="AHY"/>
    <s v="F"/>
    <n v="1"/>
    <n v="2010"/>
    <n v="2009"/>
    <n v="5"/>
    <x v="0"/>
    <s v="5B"/>
    <x v="8"/>
    <n v="1"/>
    <n v="7"/>
    <x v="0"/>
    <x v="0"/>
  </r>
  <r>
    <n v="4118"/>
    <n v="104898249"/>
    <s v="Recovery"/>
    <n v="200"/>
    <s v="AHY"/>
    <s v="M"/>
    <n v="1"/>
    <n v="2010"/>
    <n v="2009"/>
    <n v="5"/>
    <x v="0"/>
    <s v="5B"/>
    <x v="8"/>
    <n v="1"/>
    <n v="7"/>
    <x v="0"/>
    <x v="0"/>
  </r>
  <r>
    <n v="4121"/>
    <n v="104898252"/>
    <s v="Recovery"/>
    <n v="200"/>
    <s v="AHY"/>
    <s v="F"/>
    <n v="12"/>
    <n v="2013"/>
    <n v="2013"/>
    <n v="9"/>
    <x v="0"/>
    <s v="9B"/>
    <x v="4"/>
    <n v="1"/>
    <n v="7"/>
    <x v="0"/>
    <x v="0"/>
  </r>
  <r>
    <n v="4126"/>
    <n v="104898257"/>
    <s v="Recovery"/>
    <n v="200"/>
    <s v="AHY"/>
    <s v="M"/>
    <n v="1"/>
    <n v="2015"/>
    <n v="2014"/>
    <n v="10"/>
    <x v="0"/>
    <s v="10B"/>
    <x v="7"/>
    <n v="1"/>
    <n v="7"/>
    <x v="0"/>
    <x v="0"/>
  </r>
  <r>
    <n v="4128"/>
    <n v="104898259"/>
    <s v="Recovery"/>
    <n v="200"/>
    <s v="AHY"/>
    <s v="F"/>
    <n v="1"/>
    <n v="2014"/>
    <n v="2013"/>
    <n v="9"/>
    <x v="0"/>
    <s v="9B"/>
    <x v="4"/>
    <n v="1"/>
    <n v="7"/>
    <x v="0"/>
    <x v="0"/>
  </r>
  <r>
    <n v="4130"/>
    <n v="104898261"/>
    <s v="Recovery"/>
    <n v="200"/>
    <s v="AHY"/>
    <s v="M"/>
    <n v="1"/>
    <n v="2010"/>
    <n v="2009"/>
    <n v="5"/>
    <x v="0"/>
    <s v="5B"/>
    <x v="8"/>
    <n v="1"/>
    <n v="7"/>
    <x v="0"/>
    <x v="0"/>
  </r>
  <r>
    <n v="4132"/>
    <n v="104898263"/>
    <s v="Recovery"/>
    <n v="200"/>
    <s v="AHY"/>
    <s v="F"/>
    <n v="9"/>
    <n v="2009"/>
    <n v="2009"/>
    <n v="5"/>
    <x v="0"/>
    <s v="5B"/>
    <x v="8"/>
    <n v="1"/>
    <n v="7"/>
    <x v="0"/>
    <x v="0"/>
  </r>
  <r>
    <n v="4134"/>
    <n v="104898265"/>
    <s v="Recovery"/>
    <n v="200"/>
    <s v="AHY"/>
    <s v="F"/>
    <n v="1"/>
    <n v="2016"/>
    <n v="2015"/>
    <n v="11"/>
    <x v="0"/>
    <s v="11B"/>
    <x v="14"/>
    <n v="1"/>
    <n v="7"/>
    <x v="0"/>
    <x v="0"/>
  </r>
  <r>
    <n v="4137"/>
    <n v="104898268"/>
    <s v="Recovery"/>
    <n v="200"/>
    <s v="AHY"/>
    <s v="M"/>
    <n v="9"/>
    <n v="2008"/>
    <n v="2008"/>
    <n v="4"/>
    <x v="0"/>
    <s v="4B"/>
    <x v="6"/>
    <n v="1"/>
    <n v="7"/>
    <x v="0"/>
    <x v="0"/>
  </r>
  <r>
    <n v="4138"/>
    <n v="104898269"/>
    <s v="Recovery"/>
    <n v="200"/>
    <s v="AHY"/>
    <s v="F"/>
    <n v="11"/>
    <n v="2012"/>
    <n v="2012"/>
    <n v="8"/>
    <x v="0"/>
    <s v="8B"/>
    <x v="3"/>
    <n v="1"/>
    <n v="7"/>
    <x v="0"/>
    <x v="0"/>
  </r>
  <r>
    <n v="4148"/>
    <n v="104898279"/>
    <s v="Recovery"/>
    <n v="200"/>
    <s v="AHY"/>
    <s v="M"/>
    <n v="1"/>
    <n v="2016"/>
    <n v="2015"/>
    <n v="11"/>
    <x v="0"/>
    <s v="11B"/>
    <x v="14"/>
    <n v="1"/>
    <n v="7"/>
    <x v="0"/>
    <x v="0"/>
  </r>
  <r>
    <n v="4151"/>
    <n v="104898282"/>
    <s v="Recovery"/>
    <n v="200"/>
    <s v="AHY"/>
    <s v="M"/>
    <n v="1"/>
    <n v="2011"/>
    <n v="2010"/>
    <n v="6"/>
    <x v="0"/>
    <s v="6B"/>
    <x v="2"/>
    <n v="1"/>
    <n v="7"/>
    <x v="0"/>
    <x v="0"/>
  </r>
  <r>
    <n v="4156"/>
    <n v="104898287"/>
    <s v="Recovery"/>
    <n v="200"/>
    <s v="AHY"/>
    <s v="M"/>
    <n v="1"/>
    <n v="2009"/>
    <n v="2008"/>
    <n v="4"/>
    <x v="0"/>
    <s v="4B"/>
    <x v="6"/>
    <n v="1"/>
    <n v="7"/>
    <x v="0"/>
    <x v="0"/>
  </r>
  <r>
    <n v="4158"/>
    <n v="104898289"/>
    <s v="Recovery"/>
    <n v="200"/>
    <s v="AHY"/>
    <s v="F"/>
    <n v="1"/>
    <n v="2010"/>
    <n v="2009"/>
    <n v="5"/>
    <x v="0"/>
    <s v="5B"/>
    <x v="8"/>
    <n v="1"/>
    <n v="7"/>
    <x v="0"/>
    <x v="0"/>
  </r>
  <r>
    <n v="4159"/>
    <n v="104898290"/>
    <s v="Recovery"/>
    <n v="200"/>
    <s v="AHY"/>
    <s v="F"/>
    <n v="11"/>
    <n v="2012"/>
    <n v="2012"/>
    <n v="8"/>
    <x v="0"/>
    <s v="8B"/>
    <x v="3"/>
    <n v="1"/>
    <n v="7"/>
    <x v="0"/>
    <x v="0"/>
  </r>
  <r>
    <n v="4161"/>
    <n v="104898292"/>
    <s v="Recovery"/>
    <n v="200"/>
    <s v="AHY"/>
    <s v="F"/>
    <n v="1"/>
    <n v="2009"/>
    <n v="2008"/>
    <n v="4"/>
    <x v="0"/>
    <s v="4B"/>
    <x v="6"/>
    <n v="1"/>
    <n v="7"/>
    <x v="0"/>
    <x v="0"/>
  </r>
  <r>
    <n v="4167"/>
    <n v="104898298"/>
    <s v="Recovery"/>
    <n v="200"/>
    <s v="AHY"/>
    <s v="M"/>
    <n v="1"/>
    <n v="2009"/>
    <n v="2008"/>
    <n v="4"/>
    <x v="0"/>
    <s v="4B"/>
    <x v="6"/>
    <n v="1"/>
    <n v="7"/>
    <x v="0"/>
    <x v="0"/>
  </r>
  <r>
    <n v="4169"/>
    <n v="104898300"/>
    <s v="Recovery"/>
    <n v="200"/>
    <s v="AHY"/>
    <s v="F"/>
    <n v="9"/>
    <n v="2014"/>
    <n v="2014"/>
    <n v="10"/>
    <x v="0"/>
    <s v="10B"/>
    <x v="7"/>
    <n v="1"/>
    <n v="7"/>
    <x v="0"/>
    <x v="0"/>
  </r>
  <r>
    <n v="4170"/>
    <n v="104898301"/>
    <s v="Recovery"/>
    <n v="200"/>
    <s v="AHY"/>
    <s v="F"/>
    <n v="12"/>
    <n v="2013"/>
    <n v="2013"/>
    <n v="9"/>
    <x v="0"/>
    <s v="9B"/>
    <x v="4"/>
    <n v="1"/>
    <n v="7"/>
    <x v="0"/>
    <x v="0"/>
  </r>
  <r>
    <n v="4174"/>
    <n v="104898305"/>
    <s v="Recovery"/>
    <n v="200"/>
    <s v="AHY"/>
    <s v="F"/>
    <n v="10"/>
    <n v="2008"/>
    <n v="2008"/>
    <n v="4"/>
    <x v="0"/>
    <s v="4B"/>
    <x v="6"/>
    <n v="1"/>
    <n v="7"/>
    <x v="0"/>
    <x v="0"/>
  </r>
  <r>
    <n v="4176"/>
    <n v="104898307"/>
    <s v="Recovery"/>
    <n v="200"/>
    <s v="AHY"/>
    <s v="F"/>
    <n v="10"/>
    <n v="2008"/>
    <n v="2008"/>
    <n v="4"/>
    <x v="0"/>
    <s v="4B"/>
    <x v="6"/>
    <n v="1"/>
    <n v="7"/>
    <x v="0"/>
    <x v="0"/>
  </r>
  <r>
    <n v="4180"/>
    <n v="104898311"/>
    <s v="Recovery"/>
    <n v="200"/>
    <s v="AHY"/>
    <s v="M"/>
    <n v="1"/>
    <n v="2009"/>
    <n v="2008"/>
    <n v="4"/>
    <x v="0"/>
    <s v="4B"/>
    <x v="6"/>
    <n v="1"/>
    <n v="7"/>
    <x v="0"/>
    <x v="0"/>
  </r>
  <r>
    <n v="4182"/>
    <n v="104898313"/>
    <s v="Recovery"/>
    <n v="200"/>
    <s v="AHY"/>
    <s v="F"/>
    <n v="1"/>
    <n v="2018"/>
    <n v="2017"/>
    <n v="13"/>
    <x v="0"/>
    <s v="13B"/>
    <x v="13"/>
    <n v="1"/>
    <n v="7"/>
    <x v="0"/>
    <x v="0"/>
  </r>
  <r>
    <n v="4184"/>
    <n v="104898315"/>
    <s v="Recovery"/>
    <n v="200"/>
    <s v="AHY"/>
    <s v="F"/>
    <n v="1"/>
    <n v="2010"/>
    <n v="2009"/>
    <n v="5"/>
    <x v="0"/>
    <s v="5B"/>
    <x v="8"/>
    <n v="1"/>
    <n v="7"/>
    <x v="0"/>
    <x v="0"/>
  </r>
  <r>
    <n v="4193"/>
    <n v="104898324"/>
    <s v="Recovery"/>
    <n v="200"/>
    <s v="AHY"/>
    <s v="M"/>
    <n v="1"/>
    <n v="2013"/>
    <n v="2012"/>
    <n v="8"/>
    <x v="0"/>
    <s v="8B"/>
    <x v="3"/>
    <n v="1"/>
    <n v="7"/>
    <x v="0"/>
    <x v="0"/>
  </r>
  <r>
    <n v="4194"/>
    <n v="104898325"/>
    <s v="Recovery"/>
    <n v="200"/>
    <s v="AHY"/>
    <s v="F"/>
    <n v="1"/>
    <n v="2009"/>
    <n v="2008"/>
    <n v="4"/>
    <x v="0"/>
    <s v="4B"/>
    <x v="6"/>
    <n v="1"/>
    <n v="7"/>
    <x v="0"/>
    <x v="0"/>
  </r>
  <r>
    <n v="4203"/>
    <n v="104898334"/>
    <s v="Recovery"/>
    <n v="200"/>
    <s v="AHY"/>
    <s v="M"/>
    <n v="9"/>
    <n v="2009"/>
    <n v="2009"/>
    <n v="5"/>
    <x v="0"/>
    <s v="5B"/>
    <x v="8"/>
    <n v="1"/>
    <n v="7"/>
    <x v="0"/>
    <x v="0"/>
  </r>
  <r>
    <n v="4205"/>
    <n v="104898336"/>
    <s v="Recovery"/>
    <n v="200"/>
    <s v="AHY"/>
    <s v="F"/>
    <n v="1"/>
    <n v="2013"/>
    <n v="2012"/>
    <n v="8"/>
    <x v="0"/>
    <s v="8B"/>
    <x v="3"/>
    <n v="1"/>
    <n v="7"/>
    <x v="0"/>
    <x v="0"/>
  </r>
  <r>
    <n v="4213"/>
    <n v="104898344"/>
    <s v="Recovery"/>
    <n v="200"/>
    <s v="AHY"/>
    <s v="F"/>
    <n v="1"/>
    <n v="2013"/>
    <n v="2012"/>
    <n v="8"/>
    <x v="0"/>
    <s v="8B"/>
    <x v="3"/>
    <n v="1"/>
    <n v="7"/>
    <x v="0"/>
    <x v="0"/>
  </r>
  <r>
    <n v="4218"/>
    <n v="104898349"/>
    <s v="Recovery"/>
    <n v="200"/>
    <s v="AHY"/>
    <s v="M"/>
    <n v="9"/>
    <n v="2012"/>
    <n v="2012"/>
    <n v="8"/>
    <x v="0"/>
    <s v="8B"/>
    <x v="3"/>
    <n v="1"/>
    <n v="7"/>
    <x v="0"/>
    <x v="0"/>
  </r>
  <r>
    <n v="4219"/>
    <n v="104898350"/>
    <s v="Recovery"/>
    <n v="200"/>
    <s v="AHY"/>
    <s v="M"/>
    <n v="1"/>
    <n v="2017"/>
    <n v="2016"/>
    <n v="12"/>
    <x v="0"/>
    <s v="12B"/>
    <x v="12"/>
    <n v="1"/>
    <n v="7"/>
    <x v="0"/>
    <x v="0"/>
  </r>
  <r>
    <n v="4220"/>
    <n v="104898351"/>
    <s v="Recovery"/>
    <n v="200"/>
    <s v="AHY"/>
    <s v="F"/>
    <n v="1"/>
    <n v="2013"/>
    <n v="2012"/>
    <n v="8"/>
    <x v="0"/>
    <s v="8B"/>
    <x v="3"/>
    <n v="1"/>
    <n v="7"/>
    <x v="0"/>
    <x v="0"/>
  </r>
  <r>
    <n v="4223"/>
    <n v="104898354"/>
    <s v="Recovery"/>
    <n v="200"/>
    <s v="AHY"/>
    <s v="M"/>
    <n v="9"/>
    <n v="2009"/>
    <n v="2009"/>
    <n v="5"/>
    <x v="0"/>
    <s v="5B"/>
    <x v="8"/>
    <n v="1"/>
    <n v="7"/>
    <x v="0"/>
    <x v="0"/>
  </r>
  <r>
    <n v="4232"/>
    <n v="104898363"/>
    <s v="Recovery"/>
    <n v="200"/>
    <s v="AHY"/>
    <s v="M"/>
    <n v="1"/>
    <n v="2013"/>
    <n v="2012"/>
    <n v="8"/>
    <x v="0"/>
    <s v="8B"/>
    <x v="3"/>
    <n v="1"/>
    <n v="7"/>
    <x v="0"/>
    <x v="0"/>
  </r>
  <r>
    <n v="4234"/>
    <n v="104898365"/>
    <s v="Recovery"/>
    <n v="200"/>
    <s v="AHY"/>
    <s v="M"/>
    <n v="12"/>
    <n v="2011"/>
    <n v="2011"/>
    <n v="7"/>
    <x v="0"/>
    <s v="7B"/>
    <x v="9"/>
    <n v="1"/>
    <n v="7"/>
    <x v="0"/>
    <x v="0"/>
  </r>
  <r>
    <n v="4236"/>
    <n v="104898367"/>
    <s v="Recovery"/>
    <n v="200"/>
    <s v="AHY"/>
    <s v="F"/>
    <n v="9"/>
    <n v="2008"/>
    <n v="2008"/>
    <n v="4"/>
    <x v="0"/>
    <s v="4B"/>
    <x v="6"/>
    <n v="1"/>
    <n v="7"/>
    <x v="0"/>
    <x v="0"/>
  </r>
  <r>
    <n v="4244"/>
    <n v="104898375"/>
    <s v="Recovery"/>
    <n v="200"/>
    <s v="AHY"/>
    <s v="M"/>
    <n v="1"/>
    <n v="2013"/>
    <n v="2012"/>
    <n v="8"/>
    <x v="0"/>
    <s v="8B"/>
    <x v="3"/>
    <n v="1"/>
    <n v="7"/>
    <x v="0"/>
    <x v="0"/>
  </r>
  <r>
    <n v="4245"/>
    <n v="104898376"/>
    <s v="Recovery"/>
    <n v="200"/>
    <s v="AHY"/>
    <s v="F"/>
    <n v="11"/>
    <n v="2014"/>
    <n v="2014"/>
    <n v="10"/>
    <x v="0"/>
    <s v="10B"/>
    <x v="7"/>
    <n v="1"/>
    <n v="7"/>
    <x v="0"/>
    <x v="0"/>
  </r>
  <r>
    <n v="4248"/>
    <n v="104898379"/>
    <s v="Recovery"/>
    <n v="200"/>
    <s v="AHY"/>
    <s v="M"/>
    <n v="12"/>
    <n v="2018"/>
    <n v="2018"/>
    <n v="14"/>
    <x v="0"/>
    <s v="14B"/>
    <x v="10"/>
    <n v="1"/>
    <n v="7"/>
    <x v="0"/>
    <x v="0"/>
  </r>
  <r>
    <n v="4250"/>
    <n v="104898381"/>
    <s v="Recovery"/>
    <n v="200"/>
    <s v="AHY"/>
    <s v="F"/>
    <n v="10"/>
    <n v="2009"/>
    <n v="2009"/>
    <n v="5"/>
    <x v="0"/>
    <s v="5B"/>
    <x v="8"/>
    <n v="1"/>
    <n v="7"/>
    <x v="0"/>
    <x v="0"/>
  </r>
  <r>
    <n v="4251"/>
    <n v="104898382"/>
    <s v="Recovery"/>
    <n v="200"/>
    <s v="AHY"/>
    <s v="M"/>
    <n v="9"/>
    <n v="2010"/>
    <n v="2010"/>
    <n v="6"/>
    <x v="0"/>
    <s v="6B"/>
    <x v="2"/>
    <n v="1"/>
    <n v="7"/>
    <x v="0"/>
    <x v="0"/>
  </r>
  <r>
    <n v="4256"/>
    <n v="104898387"/>
    <s v="Recovery"/>
    <n v="200"/>
    <s v="AHY"/>
    <s v="F"/>
    <n v="1"/>
    <n v="2013"/>
    <n v="2012"/>
    <n v="8"/>
    <x v="0"/>
    <s v="8B"/>
    <x v="3"/>
    <n v="1"/>
    <n v="7"/>
    <x v="0"/>
    <x v="0"/>
  </r>
  <r>
    <n v="4261"/>
    <n v="104898392"/>
    <s v="Recovery"/>
    <n v="200"/>
    <s v="AHY"/>
    <s v="M"/>
    <n v="9"/>
    <n v="2010"/>
    <n v="2010"/>
    <n v="6"/>
    <x v="0"/>
    <s v="6B"/>
    <x v="2"/>
    <n v="1"/>
    <n v="7"/>
    <x v="0"/>
    <x v="0"/>
  </r>
  <r>
    <n v="4269"/>
    <n v="104898400"/>
    <s v="Recovery"/>
    <n v="200"/>
    <s v="AHY"/>
    <s v="F"/>
    <n v="9"/>
    <n v="2009"/>
    <n v="2009"/>
    <n v="5"/>
    <x v="0"/>
    <s v="5B"/>
    <x v="8"/>
    <n v="1"/>
    <n v="7"/>
    <x v="0"/>
    <x v="0"/>
  </r>
  <r>
    <n v="4271"/>
    <n v="104898402"/>
    <s v="Recovery"/>
    <n v="200"/>
    <s v="AHY"/>
    <s v="F"/>
    <n v="1"/>
    <n v="2009"/>
    <n v="2008"/>
    <n v="4"/>
    <x v="0"/>
    <s v="4B"/>
    <x v="6"/>
    <n v="1"/>
    <n v="7"/>
    <x v="0"/>
    <x v="0"/>
  </r>
  <r>
    <n v="4276"/>
    <n v="104898407"/>
    <s v="Recovery"/>
    <n v="200"/>
    <s v="AHY"/>
    <s v="F"/>
    <n v="1"/>
    <n v="2014"/>
    <n v="2013"/>
    <n v="9"/>
    <x v="0"/>
    <s v="9B"/>
    <x v="4"/>
    <n v="1"/>
    <n v="7"/>
    <x v="0"/>
    <x v="0"/>
  </r>
  <r>
    <n v="4280"/>
    <n v="104898411"/>
    <s v="Recovery"/>
    <n v="200"/>
    <s v="AHY"/>
    <s v="M"/>
    <n v="1"/>
    <n v="2013"/>
    <n v="2012"/>
    <n v="8"/>
    <x v="0"/>
    <s v="8B"/>
    <x v="3"/>
    <n v="1"/>
    <n v="7"/>
    <x v="0"/>
    <x v="0"/>
  </r>
  <r>
    <n v="4281"/>
    <n v="104898412"/>
    <s v="Recovery"/>
    <n v="200"/>
    <s v="AHY"/>
    <s v="M"/>
    <n v="9"/>
    <n v="2010"/>
    <n v="2010"/>
    <n v="6"/>
    <x v="0"/>
    <s v="6B"/>
    <x v="2"/>
    <n v="1"/>
    <n v="7"/>
    <x v="0"/>
    <x v="0"/>
  </r>
  <r>
    <n v="4288"/>
    <n v="104898419"/>
    <s v="Recovery"/>
    <n v="200"/>
    <s v="HY"/>
    <s v="F"/>
    <n v="1"/>
    <n v="2009"/>
    <n v="2008"/>
    <n v="4"/>
    <x v="0"/>
    <s v="4B"/>
    <x v="6"/>
    <n v="1"/>
    <n v="7"/>
    <x v="0"/>
    <x v="0"/>
  </r>
  <r>
    <n v="4297"/>
    <n v="104898428"/>
    <s v="Recovery"/>
    <n v="200"/>
    <s v="AHY"/>
    <s v="M"/>
    <n v="1"/>
    <n v="2009"/>
    <n v="2008"/>
    <n v="4"/>
    <x v="0"/>
    <s v="4B"/>
    <x v="6"/>
    <n v="1"/>
    <n v="7"/>
    <x v="0"/>
    <x v="0"/>
  </r>
  <r>
    <n v="4298"/>
    <n v="104898429"/>
    <s v="Recovery"/>
    <n v="200"/>
    <s v="AHY"/>
    <s v="M"/>
    <n v="1"/>
    <n v="2010"/>
    <n v="2009"/>
    <n v="5"/>
    <x v="0"/>
    <s v="5B"/>
    <x v="8"/>
    <n v="1"/>
    <n v="7"/>
    <x v="0"/>
    <x v="0"/>
  </r>
  <r>
    <n v="4303"/>
    <n v="104898434"/>
    <s v="Recovery"/>
    <n v="200"/>
    <s v="AHY"/>
    <s v="M"/>
    <n v="9"/>
    <n v="2009"/>
    <n v="2009"/>
    <n v="5"/>
    <x v="0"/>
    <s v="5B"/>
    <x v="8"/>
    <n v="1"/>
    <n v="7"/>
    <x v="0"/>
    <x v="0"/>
  </r>
  <r>
    <n v="4310"/>
    <n v="104898441"/>
    <s v="Recovery"/>
    <n v="200"/>
    <s v="AHY"/>
    <s v="M"/>
    <n v="9"/>
    <n v="2008"/>
    <n v="2008"/>
    <n v="4"/>
    <x v="0"/>
    <s v="4B"/>
    <x v="6"/>
    <n v="1"/>
    <n v="7"/>
    <x v="0"/>
    <x v="0"/>
  </r>
  <r>
    <n v="4312"/>
    <n v="104898443"/>
    <s v="Recovery"/>
    <n v="200"/>
    <s v="AHY"/>
    <s v="M"/>
    <n v="1"/>
    <n v="2009"/>
    <n v="2008"/>
    <n v="4"/>
    <x v="0"/>
    <s v="4B"/>
    <x v="6"/>
    <n v="1"/>
    <n v="7"/>
    <x v="0"/>
    <x v="0"/>
  </r>
  <r>
    <n v="4314"/>
    <n v="104898445"/>
    <s v="Recovery"/>
    <n v="200"/>
    <s v="AHY"/>
    <s v="F"/>
    <n v="1"/>
    <n v="2011"/>
    <n v="2010"/>
    <n v="6"/>
    <x v="0"/>
    <s v="6B"/>
    <x v="2"/>
    <n v="1"/>
    <n v="7"/>
    <x v="0"/>
    <x v="0"/>
  </r>
  <r>
    <n v="4320"/>
    <n v="104898451"/>
    <s v="Recovery"/>
    <n v="200"/>
    <s v="AHY"/>
    <s v="M"/>
    <n v="9"/>
    <n v="2011"/>
    <n v="2011"/>
    <n v="7"/>
    <x v="0"/>
    <s v="7B"/>
    <x v="9"/>
    <n v="1"/>
    <n v="7"/>
    <x v="0"/>
    <x v="0"/>
  </r>
  <r>
    <n v="4324"/>
    <n v="104898455"/>
    <s v="Recovery"/>
    <n v="200"/>
    <s v="AHY"/>
    <s v="F"/>
    <n v="11"/>
    <n v="2014"/>
    <n v="2014"/>
    <n v="10"/>
    <x v="0"/>
    <s v="10B"/>
    <x v="7"/>
    <n v="1"/>
    <n v="7"/>
    <x v="0"/>
    <x v="0"/>
  </r>
  <r>
    <n v="4325"/>
    <n v="104898456"/>
    <s v="Recovery"/>
    <n v="200"/>
    <s v="AHY"/>
    <s v="M"/>
    <n v="1"/>
    <n v="2013"/>
    <n v="2012"/>
    <n v="8"/>
    <x v="0"/>
    <s v="8B"/>
    <x v="3"/>
    <n v="1"/>
    <n v="7"/>
    <x v="0"/>
    <x v="0"/>
  </r>
  <r>
    <n v="4329"/>
    <n v="104898460"/>
    <s v="Recovery"/>
    <n v="200"/>
    <s v="AHY"/>
    <s v="F"/>
    <n v="9"/>
    <n v="2008"/>
    <n v="2008"/>
    <n v="4"/>
    <x v="0"/>
    <s v="4B"/>
    <x v="6"/>
    <n v="1"/>
    <n v="7"/>
    <x v="0"/>
    <x v="0"/>
  </r>
  <r>
    <n v="4331"/>
    <n v="104898462"/>
    <s v="Recovery"/>
    <n v="200"/>
    <s v="AHY"/>
    <s v="F"/>
    <n v="9"/>
    <n v="2009"/>
    <n v="2009"/>
    <n v="5"/>
    <x v="0"/>
    <s v="5B"/>
    <x v="8"/>
    <n v="1"/>
    <n v="7"/>
    <x v="0"/>
    <x v="0"/>
  </r>
  <r>
    <n v="4332"/>
    <n v="104898463"/>
    <s v="Recovery"/>
    <n v="200"/>
    <s v="AHY"/>
    <s v="M"/>
    <n v="1"/>
    <n v="2009"/>
    <n v="2008"/>
    <n v="4"/>
    <x v="0"/>
    <s v="4B"/>
    <x v="6"/>
    <n v="1"/>
    <n v="7"/>
    <x v="0"/>
    <x v="0"/>
  </r>
  <r>
    <n v="4334"/>
    <n v="104898465"/>
    <s v="Recovery"/>
    <n v="200"/>
    <s v="AHY"/>
    <s v="M"/>
    <n v="12"/>
    <n v="2010"/>
    <n v="2010"/>
    <n v="6"/>
    <x v="0"/>
    <s v="6B"/>
    <x v="2"/>
    <n v="1"/>
    <n v="7"/>
    <x v="0"/>
    <x v="0"/>
  </r>
  <r>
    <n v="4336"/>
    <n v="104898467"/>
    <s v="Recovery"/>
    <n v="200"/>
    <s v="AHY"/>
    <s v="M"/>
    <n v="1"/>
    <n v="2011"/>
    <n v="2010"/>
    <n v="6"/>
    <x v="0"/>
    <s v="6B"/>
    <x v="2"/>
    <n v="1"/>
    <n v="7"/>
    <x v="0"/>
    <x v="0"/>
  </r>
  <r>
    <n v="4340"/>
    <n v="104898471"/>
    <s v="Recovery"/>
    <n v="200"/>
    <s v="AHY"/>
    <s v="M"/>
    <n v="9"/>
    <n v="2009"/>
    <n v="2009"/>
    <n v="5"/>
    <x v="0"/>
    <s v="5B"/>
    <x v="8"/>
    <n v="1"/>
    <n v="7"/>
    <x v="0"/>
    <x v="0"/>
  </r>
  <r>
    <n v="4343"/>
    <n v="104898474"/>
    <s v="Recovery"/>
    <n v="200"/>
    <s v="AHY"/>
    <s v="F"/>
    <n v="9"/>
    <n v="2011"/>
    <n v="2011"/>
    <n v="7"/>
    <x v="0"/>
    <s v="7B"/>
    <x v="9"/>
    <n v="1"/>
    <n v="7"/>
    <x v="0"/>
    <x v="0"/>
  </r>
  <r>
    <n v="4348"/>
    <n v="104898479"/>
    <s v="Recovery"/>
    <n v="200"/>
    <s v="AHY"/>
    <s v="F"/>
    <n v="1"/>
    <n v="2009"/>
    <n v="2008"/>
    <n v="4"/>
    <x v="0"/>
    <s v="4B"/>
    <x v="6"/>
    <n v="1"/>
    <n v="7"/>
    <x v="0"/>
    <x v="0"/>
  </r>
  <r>
    <n v="4351"/>
    <n v="104898482"/>
    <s v="Recovery"/>
    <n v="200"/>
    <s v="AHY"/>
    <s v="M"/>
    <n v="9"/>
    <n v="2009"/>
    <n v="2009"/>
    <n v="5"/>
    <x v="0"/>
    <s v="5B"/>
    <x v="8"/>
    <n v="1"/>
    <n v="7"/>
    <x v="0"/>
    <x v="0"/>
  </r>
  <r>
    <n v="4353"/>
    <n v="104898484"/>
    <s v="Recovery"/>
    <n v="200"/>
    <s v="AHY"/>
    <s v="M"/>
    <n v="1"/>
    <n v="2009"/>
    <n v="2008"/>
    <n v="4"/>
    <x v="0"/>
    <s v="4B"/>
    <x v="6"/>
    <n v="1"/>
    <n v="7"/>
    <x v="0"/>
    <x v="0"/>
  </r>
  <r>
    <n v="4355"/>
    <n v="104898486"/>
    <s v="Recovery"/>
    <n v="200"/>
    <s v="AHY"/>
    <s v="M"/>
    <n v="9"/>
    <n v="2008"/>
    <n v="2008"/>
    <n v="4"/>
    <x v="0"/>
    <s v="4B"/>
    <x v="6"/>
    <n v="1"/>
    <n v="7"/>
    <x v="0"/>
    <x v="0"/>
  </r>
  <r>
    <n v="4356"/>
    <n v="104898487"/>
    <s v="Recovery"/>
    <n v="200"/>
    <s v="AHY"/>
    <s v="F"/>
    <n v="10"/>
    <n v="2019"/>
    <n v="2019"/>
    <n v="15"/>
    <x v="0"/>
    <s v="15B"/>
    <x v="11"/>
    <n v="1"/>
    <n v="7"/>
    <x v="0"/>
    <x v="0"/>
  </r>
  <r>
    <n v="4362"/>
    <n v="104898493"/>
    <s v="Recovery"/>
    <n v="200"/>
    <s v="AHY"/>
    <s v="F"/>
    <n v="1"/>
    <n v="2010"/>
    <n v="2009"/>
    <n v="5"/>
    <x v="0"/>
    <s v="5B"/>
    <x v="8"/>
    <n v="1"/>
    <n v="7"/>
    <x v="0"/>
    <x v="0"/>
  </r>
  <r>
    <n v="4363"/>
    <n v="104898494"/>
    <s v="Recovery"/>
    <n v="200"/>
    <s v="AHY"/>
    <s v="F"/>
    <n v="1"/>
    <n v="2010"/>
    <n v="2009"/>
    <n v="5"/>
    <x v="0"/>
    <s v="5B"/>
    <x v="8"/>
    <n v="1"/>
    <n v="7"/>
    <x v="0"/>
    <x v="0"/>
  </r>
  <r>
    <n v="4364"/>
    <n v="104898495"/>
    <s v="Recovery"/>
    <n v="200"/>
    <s v="AHY"/>
    <s v="F"/>
    <n v="1"/>
    <n v="2012"/>
    <n v="2011"/>
    <n v="7"/>
    <x v="0"/>
    <s v="7B"/>
    <x v="9"/>
    <n v="1"/>
    <n v="7"/>
    <x v="0"/>
    <x v="0"/>
  </r>
  <r>
    <n v="4365"/>
    <n v="104898496"/>
    <s v="Recovery"/>
    <n v="200"/>
    <s v="AHY"/>
    <s v="F"/>
    <n v="1"/>
    <n v="2011"/>
    <n v="2010"/>
    <n v="6"/>
    <x v="0"/>
    <s v="6B"/>
    <x v="2"/>
    <n v="1"/>
    <n v="7"/>
    <x v="0"/>
    <x v="0"/>
  </r>
  <r>
    <n v="4366"/>
    <n v="104898497"/>
    <s v="Recovery"/>
    <n v="200"/>
    <s v="AHY"/>
    <s v="M"/>
    <n v="11"/>
    <n v="2010"/>
    <n v="2010"/>
    <n v="6"/>
    <x v="0"/>
    <s v="6B"/>
    <x v="2"/>
    <n v="1"/>
    <n v="7"/>
    <x v="0"/>
    <x v="0"/>
  </r>
  <r>
    <n v="4369"/>
    <n v="104898500"/>
    <s v="Recovery"/>
    <n v="200"/>
    <s v="AHY"/>
    <s v="M"/>
    <n v="11"/>
    <n v="2013"/>
    <n v="2013"/>
    <n v="9"/>
    <x v="0"/>
    <s v="9B"/>
    <x v="4"/>
    <n v="1"/>
    <n v="7"/>
    <x v="0"/>
    <x v="0"/>
  </r>
  <r>
    <n v="4377"/>
    <n v="104898508"/>
    <s v="Recovery"/>
    <n v="200"/>
    <s v="AHY"/>
    <s v="F"/>
    <n v="1"/>
    <n v="2009"/>
    <n v="2008"/>
    <n v="4"/>
    <x v="0"/>
    <s v="4B"/>
    <x v="6"/>
    <n v="1"/>
    <n v="7"/>
    <x v="0"/>
    <x v="0"/>
  </r>
  <r>
    <n v="4379"/>
    <n v="104898510"/>
    <s v="Recovery"/>
    <n v="200"/>
    <s v="AHY"/>
    <s v="F"/>
    <n v="1"/>
    <n v="2010"/>
    <n v="2009"/>
    <n v="5"/>
    <x v="0"/>
    <s v="5B"/>
    <x v="8"/>
    <n v="1"/>
    <n v="7"/>
    <x v="0"/>
    <x v="0"/>
  </r>
  <r>
    <n v="4382"/>
    <n v="104898513"/>
    <s v="Recovery"/>
    <n v="200"/>
    <s v="AHY"/>
    <s v="F"/>
    <n v="1"/>
    <n v="2012"/>
    <n v="2011"/>
    <n v="7"/>
    <x v="0"/>
    <s v="7B"/>
    <x v="9"/>
    <n v="1"/>
    <n v="7"/>
    <x v="0"/>
    <x v="0"/>
  </r>
  <r>
    <n v="4385"/>
    <n v="104898516"/>
    <s v="Recovery"/>
    <n v="200"/>
    <s v="AHY"/>
    <s v="F"/>
    <n v="12"/>
    <n v="2012"/>
    <n v="2012"/>
    <n v="8"/>
    <x v="0"/>
    <s v="8B"/>
    <x v="3"/>
    <n v="1"/>
    <n v="7"/>
    <x v="0"/>
    <x v="0"/>
  </r>
  <r>
    <n v="4386"/>
    <n v="104898517"/>
    <s v="Recovery"/>
    <n v="200"/>
    <s v="AHY"/>
    <s v="M"/>
    <n v="1"/>
    <n v="2012"/>
    <n v="2011"/>
    <n v="7"/>
    <x v="0"/>
    <s v="7B"/>
    <x v="9"/>
    <n v="1"/>
    <n v="7"/>
    <x v="0"/>
    <x v="0"/>
  </r>
  <r>
    <n v="4387"/>
    <n v="104898518"/>
    <s v="Recovery"/>
    <n v="200"/>
    <s v="AHY"/>
    <s v="F"/>
    <n v="12"/>
    <n v="2010"/>
    <n v="2010"/>
    <n v="6"/>
    <x v="0"/>
    <s v="6B"/>
    <x v="2"/>
    <n v="1"/>
    <n v="7"/>
    <x v="0"/>
    <x v="0"/>
  </r>
  <r>
    <n v="4396"/>
    <n v="104898527"/>
    <s v="Recovery"/>
    <n v="200"/>
    <s v="AHY"/>
    <s v="M"/>
    <n v="12"/>
    <n v="2011"/>
    <n v="2011"/>
    <n v="7"/>
    <x v="0"/>
    <s v="7B"/>
    <x v="9"/>
    <n v="1"/>
    <n v="7"/>
    <x v="0"/>
    <x v="0"/>
  </r>
  <r>
    <n v="4397"/>
    <n v="104898528"/>
    <s v="Recovery"/>
    <n v="200"/>
    <s v="AHY"/>
    <s v="F"/>
    <n v="12"/>
    <n v="2009"/>
    <n v="2009"/>
    <n v="5"/>
    <x v="0"/>
    <s v="5B"/>
    <x v="8"/>
    <n v="1"/>
    <n v="7"/>
    <x v="0"/>
    <x v="0"/>
  </r>
  <r>
    <n v="4398"/>
    <n v="104898529"/>
    <s v="Recovery"/>
    <n v="200"/>
    <s v="AHY"/>
    <s v="M"/>
    <n v="1"/>
    <n v="2010"/>
    <n v="2009"/>
    <n v="5"/>
    <x v="0"/>
    <s v="5B"/>
    <x v="8"/>
    <n v="1"/>
    <n v="7"/>
    <x v="0"/>
    <x v="0"/>
  </r>
  <r>
    <n v="4401"/>
    <n v="104898532"/>
    <s v="Recovery"/>
    <n v="200"/>
    <s v="AHY"/>
    <s v="M"/>
    <n v="1"/>
    <n v="2012"/>
    <n v="2011"/>
    <n v="7"/>
    <x v="0"/>
    <s v="7B"/>
    <x v="9"/>
    <n v="1"/>
    <n v="7"/>
    <x v="0"/>
    <x v="0"/>
  </r>
  <r>
    <n v="4410"/>
    <n v="104898541"/>
    <s v="Recovery"/>
    <n v="200"/>
    <s v="AHY"/>
    <s v="M"/>
    <n v="1"/>
    <n v="2018"/>
    <n v="2017"/>
    <n v="13"/>
    <x v="0"/>
    <s v="13B"/>
    <x v="13"/>
    <n v="1"/>
    <n v="7"/>
    <x v="0"/>
    <x v="0"/>
  </r>
  <r>
    <n v="4413"/>
    <n v="104898544"/>
    <s v="Recovery"/>
    <n v="200"/>
    <s v="AHY"/>
    <s v="F"/>
    <n v="1"/>
    <n v="2009"/>
    <n v="2008"/>
    <n v="4"/>
    <x v="0"/>
    <s v="4B"/>
    <x v="6"/>
    <n v="1"/>
    <n v="7"/>
    <x v="0"/>
    <x v="0"/>
  </r>
  <r>
    <n v="4415"/>
    <n v="104898546"/>
    <s v="Recovery"/>
    <n v="200"/>
    <s v="AHY"/>
    <s v="F"/>
    <n v="9"/>
    <n v="2017"/>
    <n v="2017"/>
    <n v="13"/>
    <x v="0"/>
    <s v="13B"/>
    <x v="13"/>
    <n v="1"/>
    <n v="7"/>
    <x v="0"/>
    <x v="0"/>
  </r>
  <r>
    <n v="4416"/>
    <n v="104898547"/>
    <s v="Recovery"/>
    <n v="200"/>
    <s v="AHY"/>
    <s v="M"/>
    <n v="1"/>
    <n v="2010"/>
    <n v="2009"/>
    <n v="5"/>
    <x v="0"/>
    <s v="5B"/>
    <x v="8"/>
    <n v="1"/>
    <n v="7"/>
    <x v="0"/>
    <x v="0"/>
  </r>
  <r>
    <n v="4418"/>
    <n v="104898549"/>
    <s v="Recovery"/>
    <n v="200"/>
    <s v="AHY"/>
    <s v="F"/>
    <n v="1"/>
    <n v="2010"/>
    <n v="2009"/>
    <n v="5"/>
    <x v="0"/>
    <s v="5B"/>
    <x v="8"/>
    <n v="1"/>
    <n v="7"/>
    <x v="0"/>
    <x v="0"/>
  </r>
  <r>
    <n v="4420"/>
    <n v="104898551"/>
    <s v="Recovery"/>
    <n v="200"/>
    <s v="AHY"/>
    <s v="F"/>
    <n v="9"/>
    <n v="2009"/>
    <n v="2009"/>
    <n v="5"/>
    <x v="0"/>
    <s v="5B"/>
    <x v="8"/>
    <n v="1"/>
    <n v="7"/>
    <x v="0"/>
    <x v="0"/>
  </r>
  <r>
    <n v="4432"/>
    <n v="104898563"/>
    <s v="Recovery"/>
    <n v="200"/>
    <s v="AHY"/>
    <s v="F"/>
    <n v="1"/>
    <n v="2011"/>
    <n v="2010"/>
    <n v="6"/>
    <x v="0"/>
    <s v="6B"/>
    <x v="2"/>
    <n v="1"/>
    <n v="7"/>
    <x v="0"/>
    <x v="0"/>
  </r>
  <r>
    <n v="4434"/>
    <n v="104898565"/>
    <s v="Recovery"/>
    <n v="200"/>
    <s v="AHY"/>
    <s v="M"/>
    <n v="9"/>
    <n v="2009"/>
    <n v="2009"/>
    <n v="5"/>
    <x v="0"/>
    <s v="5B"/>
    <x v="8"/>
    <n v="1"/>
    <n v="7"/>
    <x v="0"/>
    <x v="0"/>
  </r>
  <r>
    <n v="4442"/>
    <n v="104898573"/>
    <s v="Recovery"/>
    <n v="200"/>
    <s v="AHY"/>
    <s v="F"/>
    <n v="9"/>
    <n v="2010"/>
    <n v="2010"/>
    <n v="6"/>
    <x v="0"/>
    <s v="6B"/>
    <x v="2"/>
    <n v="1"/>
    <n v="7"/>
    <x v="0"/>
    <x v="0"/>
  </r>
  <r>
    <n v="4468"/>
    <n v="104898599"/>
    <s v="Recovery"/>
    <n v="200"/>
    <s v="AHY"/>
    <s v="F"/>
    <n v="1"/>
    <n v="2009"/>
    <n v="2008"/>
    <n v="4"/>
    <x v="0"/>
    <s v="4B"/>
    <x v="6"/>
    <n v="1"/>
    <n v="7"/>
    <x v="0"/>
    <x v="0"/>
  </r>
  <r>
    <n v="4474"/>
    <n v="104898605"/>
    <s v="Recovery"/>
    <n v="200"/>
    <s v="AHY"/>
    <s v="F"/>
    <n v="9"/>
    <n v="2016"/>
    <n v="2016"/>
    <n v="12"/>
    <x v="0"/>
    <s v="12B"/>
    <x v="12"/>
    <n v="1"/>
    <n v="7"/>
    <x v="0"/>
    <x v="0"/>
  </r>
  <r>
    <n v="4475"/>
    <n v="104898606"/>
    <s v="Recovery"/>
    <n v="200"/>
    <s v="AHY"/>
    <s v="F"/>
    <n v="9"/>
    <n v="2010"/>
    <n v="2010"/>
    <n v="6"/>
    <x v="0"/>
    <s v="6B"/>
    <x v="2"/>
    <n v="1"/>
    <n v="7"/>
    <x v="0"/>
    <x v="0"/>
  </r>
  <r>
    <n v="4477"/>
    <n v="104898608"/>
    <s v="Recovery"/>
    <n v="200"/>
    <s v="AHY"/>
    <s v="M"/>
    <n v="12"/>
    <n v="2008"/>
    <n v="2008"/>
    <n v="4"/>
    <x v="0"/>
    <s v="4B"/>
    <x v="6"/>
    <n v="1"/>
    <n v="7"/>
    <x v="0"/>
    <x v="0"/>
  </r>
  <r>
    <n v="4480"/>
    <n v="104898611"/>
    <s v="Recovery"/>
    <n v="200"/>
    <s v="AHY"/>
    <s v="F"/>
    <n v="12"/>
    <n v="2009"/>
    <n v="2009"/>
    <n v="5"/>
    <x v="0"/>
    <s v="5B"/>
    <x v="8"/>
    <n v="1"/>
    <n v="7"/>
    <x v="0"/>
    <x v="0"/>
  </r>
  <r>
    <n v="4481"/>
    <n v="104898612"/>
    <s v="Recovery"/>
    <n v="200"/>
    <s v="AHY"/>
    <s v="M"/>
    <n v="12"/>
    <n v="2009"/>
    <n v="2009"/>
    <n v="5"/>
    <x v="0"/>
    <s v="5B"/>
    <x v="8"/>
    <n v="1"/>
    <n v="7"/>
    <x v="0"/>
    <x v="0"/>
  </r>
  <r>
    <n v="4487"/>
    <n v="104898618"/>
    <s v="Recovery"/>
    <n v="200"/>
    <s v="AHY"/>
    <s v="F"/>
    <n v="9"/>
    <n v="2013"/>
    <n v="2013"/>
    <n v="9"/>
    <x v="0"/>
    <s v="9B"/>
    <x v="4"/>
    <n v="1"/>
    <n v="7"/>
    <x v="0"/>
    <x v="0"/>
  </r>
  <r>
    <n v="4495"/>
    <n v="104898626"/>
    <s v="Recovery"/>
    <n v="200"/>
    <s v="AHY"/>
    <s v="F"/>
    <n v="12"/>
    <n v="2009"/>
    <n v="2009"/>
    <n v="5"/>
    <x v="0"/>
    <s v="5B"/>
    <x v="8"/>
    <n v="1"/>
    <n v="7"/>
    <x v="0"/>
    <x v="0"/>
  </r>
  <r>
    <n v="4496"/>
    <n v="104898627"/>
    <s v="Recovery"/>
    <n v="200"/>
    <s v="AHY"/>
    <s v="M"/>
    <n v="12"/>
    <n v="2008"/>
    <n v="2008"/>
    <n v="4"/>
    <x v="0"/>
    <s v="4B"/>
    <x v="6"/>
    <n v="1"/>
    <n v="7"/>
    <x v="0"/>
    <x v="0"/>
  </r>
  <r>
    <n v="4500"/>
    <n v="104898631"/>
    <s v="Recovery"/>
    <n v="200"/>
    <s v="AHY"/>
    <s v="M"/>
    <n v="1"/>
    <n v="2010"/>
    <n v="2009"/>
    <n v="5"/>
    <x v="0"/>
    <s v="5B"/>
    <x v="8"/>
    <n v="1"/>
    <n v="7"/>
    <x v="0"/>
    <x v="0"/>
  </r>
  <r>
    <n v="4502"/>
    <n v="104898633"/>
    <s v="Recovery"/>
    <n v="200"/>
    <s v="AHY"/>
    <s v="F"/>
    <n v="9"/>
    <n v="2012"/>
    <n v="2012"/>
    <n v="8"/>
    <x v="0"/>
    <s v="8B"/>
    <x v="3"/>
    <n v="1"/>
    <n v="7"/>
    <x v="0"/>
    <x v="0"/>
  </r>
  <r>
    <n v="4503"/>
    <n v="104898634"/>
    <s v="Recovery"/>
    <n v="200"/>
    <s v="AHY"/>
    <s v="M"/>
    <n v="11"/>
    <n v="2013"/>
    <n v="2013"/>
    <n v="9"/>
    <x v="0"/>
    <s v="9B"/>
    <x v="4"/>
    <n v="1"/>
    <n v="81"/>
    <x v="17"/>
    <x v="1"/>
  </r>
  <r>
    <n v="4504"/>
    <n v="104898635"/>
    <s v="Recovery"/>
    <n v="200"/>
    <s v="AHY"/>
    <s v="M"/>
    <n v="12"/>
    <n v="2008"/>
    <n v="2008"/>
    <n v="4"/>
    <x v="0"/>
    <s v="4B"/>
    <x v="6"/>
    <n v="1"/>
    <n v="7"/>
    <x v="0"/>
    <x v="0"/>
  </r>
  <r>
    <n v="4514"/>
    <n v="104898645"/>
    <s v="Recovery"/>
    <n v="200"/>
    <s v="AHY"/>
    <s v="F"/>
    <n v="9"/>
    <n v="2013"/>
    <n v="2013"/>
    <n v="9"/>
    <x v="0"/>
    <s v="9B"/>
    <x v="4"/>
    <n v="1"/>
    <n v="7"/>
    <x v="0"/>
    <x v="0"/>
  </r>
  <r>
    <n v="4529"/>
    <n v="97890411"/>
    <s v="Recovery"/>
    <n v="200"/>
    <s v="AHY"/>
    <s v="F"/>
    <n v="12"/>
    <n v="2012"/>
    <n v="2012"/>
    <n v="8"/>
    <x v="0"/>
    <s v="8B"/>
    <x v="3"/>
    <n v="1"/>
    <n v="7"/>
    <x v="0"/>
    <x v="0"/>
  </r>
  <r>
    <n v="4539"/>
    <n v="97890421"/>
    <s v="Recovery"/>
    <n v="200"/>
    <s v="AHY"/>
    <s v="M"/>
    <n v="2"/>
    <n v="2015"/>
    <n v="2014"/>
    <n v="10"/>
    <x v="0"/>
    <s v="10B"/>
    <x v="7"/>
    <n v="1"/>
    <n v="7"/>
    <x v="0"/>
    <x v="0"/>
  </r>
  <r>
    <n v="4553"/>
    <n v="97890435"/>
    <s v="Recovery"/>
    <n v="200"/>
    <s v="AHY"/>
    <s v="F"/>
    <n v="9"/>
    <n v="2012"/>
    <n v="2012"/>
    <n v="8"/>
    <x v="0"/>
    <s v="8B"/>
    <x v="3"/>
    <n v="1"/>
    <n v="7"/>
    <x v="0"/>
    <x v="0"/>
  </r>
  <r>
    <n v="4555"/>
    <n v="97890437"/>
    <s v="Recovery"/>
    <n v="200"/>
    <s v="AHY"/>
    <s v="M"/>
    <n v="1"/>
    <n v="2010"/>
    <n v="2009"/>
    <n v="5"/>
    <x v="0"/>
    <s v="5B"/>
    <x v="8"/>
    <n v="1"/>
    <n v="7"/>
    <x v="0"/>
    <x v="0"/>
  </r>
  <r>
    <n v="4564"/>
    <n v="97890446"/>
    <s v="Recovery"/>
    <n v="200"/>
    <s v="AHY"/>
    <s v="M"/>
    <n v="1"/>
    <n v="2010"/>
    <n v="2009"/>
    <n v="5"/>
    <x v="0"/>
    <s v="5B"/>
    <x v="8"/>
    <n v="1"/>
    <n v="7"/>
    <x v="0"/>
    <x v="0"/>
  </r>
  <r>
    <n v="4573"/>
    <n v="97890455"/>
    <s v="Recovery"/>
    <n v="200"/>
    <s v="AHY"/>
    <s v="U"/>
    <n v="1"/>
    <n v="2011"/>
    <n v="2010"/>
    <n v="6"/>
    <x v="0"/>
    <s v="6B"/>
    <x v="2"/>
    <n v="1"/>
    <n v="7"/>
    <x v="0"/>
    <x v="0"/>
  </r>
  <r>
    <n v="4594"/>
    <n v="97890476"/>
    <s v="Recovery"/>
    <n v="200"/>
    <s v="AHY"/>
    <s v="M"/>
    <n v="1"/>
    <n v="2012"/>
    <n v="2011"/>
    <n v="7"/>
    <x v="0"/>
    <s v="7B"/>
    <x v="9"/>
    <n v="1"/>
    <n v="7"/>
    <x v="0"/>
    <x v="0"/>
  </r>
  <r>
    <n v="4616"/>
    <n v="97890498"/>
    <s v="Recovery"/>
    <n v="200"/>
    <s v="AHY"/>
    <s v="U"/>
    <n v="1"/>
    <n v="2011"/>
    <n v="2010"/>
    <n v="6"/>
    <x v="0"/>
    <s v="6B"/>
    <x v="2"/>
    <n v="1"/>
    <n v="7"/>
    <x v="0"/>
    <x v="0"/>
  </r>
  <r>
    <n v="4622"/>
    <n v="98848804"/>
    <s v="Recovery"/>
    <n v="200"/>
    <s v="AHY"/>
    <s v="F"/>
    <n v="1"/>
    <n v="2010"/>
    <n v="2009"/>
    <n v="5"/>
    <x v="0"/>
    <s v="5B"/>
    <x v="8"/>
    <n v="1"/>
    <n v="7"/>
    <x v="0"/>
    <x v="0"/>
  </r>
  <r>
    <n v="4625"/>
    <n v="98848807"/>
    <s v="Recovery"/>
    <n v="200"/>
    <s v="AHY"/>
    <s v="F"/>
    <n v="9"/>
    <n v="2011"/>
    <n v="2011"/>
    <n v="7"/>
    <x v="0"/>
    <s v="7B"/>
    <x v="9"/>
    <n v="1"/>
    <n v="7"/>
    <x v="0"/>
    <x v="0"/>
  </r>
  <r>
    <n v="4627"/>
    <n v="98848809"/>
    <s v="Recovery"/>
    <n v="200"/>
    <s v="AHY"/>
    <s v="M"/>
    <n v="11"/>
    <n v="2011"/>
    <n v="2011"/>
    <n v="7"/>
    <x v="0"/>
    <s v="7B"/>
    <x v="9"/>
    <n v="1"/>
    <n v="7"/>
    <x v="0"/>
    <x v="0"/>
  </r>
  <r>
    <n v="4628"/>
    <n v="98848810"/>
    <s v="Recovery"/>
    <n v="200"/>
    <s v="AHY"/>
    <s v="F"/>
    <n v="1"/>
    <n v="2014"/>
    <n v="2013"/>
    <n v="9"/>
    <x v="0"/>
    <s v="9B"/>
    <x v="4"/>
    <n v="1"/>
    <n v="7"/>
    <x v="0"/>
    <x v="0"/>
  </r>
  <r>
    <n v="4629"/>
    <n v="98848811"/>
    <s v="Recovery"/>
    <n v="200"/>
    <s v="AHY"/>
    <s v="F"/>
    <n v="9"/>
    <n v="2010"/>
    <n v="2010"/>
    <n v="6"/>
    <x v="0"/>
    <s v="6B"/>
    <x v="2"/>
    <n v="1"/>
    <n v="7"/>
    <x v="0"/>
    <x v="0"/>
  </r>
  <r>
    <n v="4635"/>
    <n v="98848817"/>
    <s v="Recovery"/>
    <n v="200"/>
    <s v="AHY"/>
    <s v="M"/>
    <n v="1"/>
    <n v="2019"/>
    <n v="2018"/>
    <n v="14"/>
    <x v="0"/>
    <s v="14B"/>
    <x v="10"/>
    <n v="1"/>
    <n v="7"/>
    <x v="0"/>
    <x v="0"/>
  </r>
  <r>
    <n v="4639"/>
    <n v="98848821"/>
    <s v="Recovery"/>
    <n v="200"/>
    <s v="AHY"/>
    <s v="M"/>
    <n v="1"/>
    <n v="2019"/>
    <n v="2018"/>
    <n v="14"/>
    <x v="0"/>
    <s v="14B"/>
    <x v="10"/>
    <n v="1"/>
    <n v="7"/>
    <x v="0"/>
    <x v="0"/>
  </r>
  <r>
    <n v="4640"/>
    <n v="98848822"/>
    <s v="Recovery"/>
    <n v="200"/>
    <s v="AHY"/>
    <s v="M"/>
    <n v="9"/>
    <n v="2014"/>
    <n v="2014"/>
    <n v="10"/>
    <x v="0"/>
    <s v="10B"/>
    <x v="7"/>
    <n v="1"/>
    <n v="7"/>
    <x v="0"/>
    <x v="0"/>
  </r>
  <r>
    <n v="4657"/>
    <n v="98848839"/>
    <s v="Recovery"/>
    <n v="200"/>
    <s v="AHY"/>
    <s v="M"/>
    <n v="1"/>
    <n v="2011"/>
    <n v="2010"/>
    <n v="6"/>
    <x v="0"/>
    <s v="6B"/>
    <x v="2"/>
    <n v="1"/>
    <n v="7"/>
    <x v="0"/>
    <x v="0"/>
  </r>
  <r>
    <n v="4659"/>
    <n v="98848841"/>
    <s v="Recovery"/>
    <n v="200"/>
    <s v="AHY"/>
    <s v="M"/>
    <n v="12"/>
    <n v="2009"/>
    <n v="2009"/>
    <n v="5"/>
    <x v="0"/>
    <s v="5B"/>
    <x v="8"/>
    <n v="1"/>
    <n v="7"/>
    <x v="0"/>
    <x v="0"/>
  </r>
  <r>
    <n v="4673"/>
    <n v="98848855"/>
    <s v="Recovery"/>
    <n v="200"/>
    <s v="AHY"/>
    <s v="M"/>
    <n v="9"/>
    <n v="2013"/>
    <n v="2013"/>
    <n v="9"/>
    <x v="0"/>
    <s v="9B"/>
    <x v="4"/>
    <n v="1"/>
    <n v="7"/>
    <x v="0"/>
    <x v="0"/>
  </r>
  <r>
    <n v="4674"/>
    <n v="98848856"/>
    <s v="Recovery"/>
    <n v="200"/>
    <s v="AHY"/>
    <s v="F"/>
    <n v="1"/>
    <n v="2011"/>
    <n v="2010"/>
    <n v="6"/>
    <x v="0"/>
    <s v="6B"/>
    <x v="2"/>
    <n v="1"/>
    <n v="7"/>
    <x v="0"/>
    <x v="0"/>
  </r>
  <r>
    <n v="4677"/>
    <n v="98848859"/>
    <s v="Recovery"/>
    <n v="200"/>
    <s v="AHY"/>
    <s v="M"/>
    <n v="12"/>
    <n v="2019"/>
    <n v="2019"/>
    <n v="15"/>
    <x v="0"/>
    <s v="15B"/>
    <x v="11"/>
    <n v="1"/>
    <n v="7"/>
    <x v="0"/>
    <x v="0"/>
  </r>
  <r>
    <n v="4679"/>
    <n v="98848861"/>
    <s v="Recovery"/>
    <n v="200"/>
    <s v="AHY"/>
    <s v="F"/>
    <n v="1"/>
    <n v="2011"/>
    <n v="2010"/>
    <n v="6"/>
    <x v="0"/>
    <s v="6B"/>
    <x v="2"/>
    <n v="1"/>
    <n v="7"/>
    <x v="0"/>
    <x v="0"/>
  </r>
  <r>
    <n v="4682"/>
    <n v="98848864"/>
    <s v="Recovery"/>
    <n v="200"/>
    <s v="AHY"/>
    <s v="F"/>
    <n v="11"/>
    <n v="2011"/>
    <n v="2011"/>
    <n v="7"/>
    <x v="0"/>
    <s v="7B"/>
    <x v="9"/>
    <n v="1"/>
    <n v="7"/>
    <x v="0"/>
    <x v="0"/>
  </r>
  <r>
    <n v="4688"/>
    <n v="98848870"/>
    <s v="Recovery"/>
    <n v="200"/>
    <s v="AHY"/>
    <s v="F"/>
    <n v="9"/>
    <n v="2013"/>
    <n v="2013"/>
    <n v="9"/>
    <x v="0"/>
    <s v="9B"/>
    <x v="4"/>
    <n v="1"/>
    <n v="7"/>
    <x v="0"/>
    <x v="0"/>
  </r>
  <r>
    <n v="4691"/>
    <n v="98848873"/>
    <s v="Recovery"/>
    <n v="200"/>
    <s v="AHY"/>
    <s v="M"/>
    <n v="12"/>
    <n v="2013"/>
    <n v="2013"/>
    <n v="9"/>
    <x v="0"/>
    <s v="9B"/>
    <x v="4"/>
    <n v="1"/>
    <n v="7"/>
    <x v="0"/>
    <x v="0"/>
  </r>
  <r>
    <n v="4699"/>
    <n v="98848881"/>
    <s v="Recovery"/>
    <n v="200"/>
    <s v="AHY"/>
    <s v="M"/>
    <n v="9"/>
    <n v="2013"/>
    <n v="2013"/>
    <n v="9"/>
    <x v="0"/>
    <s v="9B"/>
    <x v="4"/>
    <n v="1"/>
    <n v="7"/>
    <x v="0"/>
    <x v="0"/>
  </r>
  <r>
    <n v="4702"/>
    <n v="98848884"/>
    <s v="Recovery"/>
    <n v="200"/>
    <s v="AHY"/>
    <s v="F"/>
    <n v="1"/>
    <n v="2011"/>
    <n v="2010"/>
    <n v="6"/>
    <x v="0"/>
    <s v="6B"/>
    <x v="2"/>
    <n v="1"/>
    <n v="7"/>
    <x v="0"/>
    <x v="0"/>
  </r>
  <r>
    <n v="4711"/>
    <n v="98848893"/>
    <s v="Recovery"/>
    <n v="200"/>
    <s v="AHY"/>
    <s v="M"/>
    <n v="1"/>
    <n v="2014"/>
    <n v="2013"/>
    <n v="9"/>
    <x v="0"/>
    <s v="9B"/>
    <x v="4"/>
    <n v="1"/>
    <n v="7"/>
    <x v="0"/>
    <x v="0"/>
  </r>
  <r>
    <n v="4717"/>
    <n v="98848899"/>
    <s v="Recovery"/>
    <n v="200"/>
    <s v="AHY"/>
    <s v="M"/>
    <n v="9"/>
    <n v="2010"/>
    <n v="2010"/>
    <n v="6"/>
    <x v="0"/>
    <s v="6B"/>
    <x v="2"/>
    <n v="1"/>
    <n v="7"/>
    <x v="0"/>
    <x v="0"/>
  </r>
  <r>
    <n v="4729"/>
    <n v="98849449"/>
    <s v="Recovery"/>
    <n v="200"/>
    <s v="AHY"/>
    <s v="F"/>
    <n v="9"/>
    <n v="2009"/>
    <n v="2009"/>
    <n v="5"/>
    <x v="0"/>
    <s v="5B"/>
    <x v="8"/>
    <n v="1"/>
    <n v="7"/>
    <x v="0"/>
    <x v="0"/>
  </r>
  <r>
    <n v="4731"/>
    <n v="98849451"/>
    <s v="Recovery"/>
    <n v="200"/>
    <s v="AHY"/>
    <s v="M"/>
    <n v="12"/>
    <n v="2009"/>
    <n v="2009"/>
    <n v="5"/>
    <x v="0"/>
    <s v="5B"/>
    <x v="8"/>
    <n v="1"/>
    <n v="7"/>
    <x v="0"/>
    <x v="0"/>
  </r>
  <r>
    <n v="4735"/>
    <n v="98849455"/>
    <s v="Recovery"/>
    <n v="200"/>
    <s v="AHY"/>
    <s v="F"/>
    <n v="9"/>
    <n v="2010"/>
    <n v="2010"/>
    <n v="6"/>
    <x v="0"/>
    <s v="6B"/>
    <x v="2"/>
    <n v="1"/>
    <n v="7"/>
    <x v="0"/>
    <x v="0"/>
  </r>
  <r>
    <n v="4745"/>
    <n v="98849465"/>
    <s v="Recovery"/>
    <n v="200"/>
    <s v="AHY"/>
    <s v="F"/>
    <n v="1"/>
    <n v="2011"/>
    <n v="2010"/>
    <n v="6"/>
    <x v="0"/>
    <s v="6B"/>
    <x v="2"/>
    <n v="1"/>
    <n v="7"/>
    <x v="0"/>
    <x v="0"/>
  </r>
  <r>
    <n v="4751"/>
    <n v="98849471"/>
    <s v="Recovery"/>
    <n v="200"/>
    <s v="AHY"/>
    <s v="M"/>
    <n v="9"/>
    <n v="2010"/>
    <n v="2010"/>
    <n v="6"/>
    <x v="0"/>
    <s v="6B"/>
    <x v="2"/>
    <n v="1"/>
    <n v="7"/>
    <x v="0"/>
    <x v="0"/>
  </r>
  <r>
    <n v="4753"/>
    <n v="98849473"/>
    <s v="Recovery"/>
    <n v="200"/>
    <s v="AHY"/>
    <s v="M"/>
    <n v="9"/>
    <n v="2011"/>
    <n v="2011"/>
    <n v="7"/>
    <x v="0"/>
    <s v="7B"/>
    <x v="9"/>
    <n v="1"/>
    <n v="7"/>
    <x v="0"/>
    <x v="0"/>
  </r>
  <r>
    <n v="4755"/>
    <n v="98849475"/>
    <s v="Recovery"/>
    <n v="200"/>
    <s v="HY"/>
    <s v="M"/>
    <n v="9"/>
    <n v="2009"/>
    <n v="2009"/>
    <n v="5"/>
    <x v="0"/>
    <s v="5B"/>
    <x v="8"/>
    <n v="1"/>
    <n v="7"/>
    <x v="0"/>
    <x v="0"/>
  </r>
  <r>
    <n v="4758"/>
    <n v="98849478"/>
    <s v="Recovery"/>
    <n v="200"/>
    <s v="AHY"/>
    <s v="F"/>
    <n v="2"/>
    <n v="2013"/>
    <n v="2012"/>
    <n v="8"/>
    <x v="0"/>
    <s v="8B"/>
    <x v="3"/>
    <n v="1"/>
    <n v="7"/>
    <x v="0"/>
    <x v="0"/>
  </r>
  <r>
    <n v="4764"/>
    <n v="98849484"/>
    <s v="Recovery"/>
    <n v="200"/>
    <s v="HY"/>
    <s v="M"/>
    <n v="12"/>
    <n v="2009"/>
    <n v="2009"/>
    <n v="5"/>
    <x v="0"/>
    <s v="5B"/>
    <x v="8"/>
    <n v="1"/>
    <n v="7"/>
    <x v="0"/>
    <x v="0"/>
  </r>
  <r>
    <n v="4768"/>
    <n v="98849488"/>
    <s v="Recovery"/>
    <n v="200"/>
    <s v="AHY"/>
    <s v="F"/>
    <n v="1"/>
    <n v="2011"/>
    <n v="2010"/>
    <n v="6"/>
    <x v="0"/>
    <s v="6B"/>
    <x v="2"/>
    <n v="1"/>
    <n v="7"/>
    <x v="0"/>
    <x v="0"/>
  </r>
  <r>
    <n v="4771"/>
    <n v="98849491"/>
    <s v="Recovery"/>
    <n v="200"/>
    <s v="AHY"/>
    <s v="F"/>
    <n v="1"/>
    <n v="2011"/>
    <n v="2010"/>
    <n v="6"/>
    <x v="0"/>
    <s v="6B"/>
    <x v="2"/>
    <n v="1"/>
    <n v="7"/>
    <x v="0"/>
    <x v="0"/>
  </r>
  <r>
    <n v="4780"/>
    <n v="98849500"/>
    <s v="Recovery"/>
    <n v="200"/>
    <s v="AHY"/>
    <s v="F"/>
    <n v="1"/>
    <n v="2011"/>
    <n v="2010"/>
    <n v="6"/>
    <x v="0"/>
    <s v="6B"/>
    <x v="2"/>
    <n v="1"/>
    <n v="7"/>
    <x v="0"/>
    <x v="0"/>
  </r>
  <r>
    <n v="4782"/>
    <n v="100888194"/>
    <s v="Recovery"/>
    <n v="200"/>
    <s v="AHY"/>
    <s v="M"/>
    <n v="11"/>
    <n v="2011"/>
    <n v="2011"/>
    <n v="7"/>
    <x v="0"/>
    <s v="7B"/>
    <x v="9"/>
    <n v="1"/>
    <n v="7"/>
    <x v="0"/>
    <x v="0"/>
  </r>
  <r>
    <n v="4783"/>
    <n v="100888195"/>
    <s v="Recovery"/>
    <n v="200"/>
    <s v="AHY"/>
    <s v="F"/>
    <n v="9"/>
    <n v="2014"/>
    <n v="2014"/>
    <n v="10"/>
    <x v="0"/>
    <s v="10B"/>
    <x v="7"/>
    <n v="1"/>
    <n v="7"/>
    <x v="0"/>
    <x v="0"/>
  </r>
  <r>
    <n v="4784"/>
    <n v="100888196"/>
    <s v="Recovery"/>
    <n v="200"/>
    <s v="AHY"/>
    <s v="F"/>
    <n v="1"/>
    <n v="2011"/>
    <n v="2010"/>
    <n v="6"/>
    <x v="0"/>
    <s v="6B"/>
    <x v="2"/>
    <n v="1"/>
    <n v="7"/>
    <x v="0"/>
    <x v="0"/>
  </r>
  <r>
    <n v="4787"/>
    <n v="100888199"/>
    <s v="Recovery"/>
    <n v="200"/>
    <s v="AHY"/>
    <s v="F"/>
    <n v="9"/>
    <n v="2011"/>
    <n v="2011"/>
    <n v="7"/>
    <x v="0"/>
    <s v="7B"/>
    <x v="9"/>
    <n v="1"/>
    <n v="7"/>
    <x v="0"/>
    <x v="0"/>
  </r>
  <r>
    <n v="4791"/>
    <n v="100888703"/>
    <s v="Recovery"/>
    <n v="200"/>
    <s v="AHY"/>
    <s v="U"/>
    <n v="1"/>
    <n v="2012"/>
    <n v="2011"/>
    <n v="7"/>
    <x v="0"/>
    <s v="7B"/>
    <x v="9"/>
    <n v="1"/>
    <n v="7"/>
    <x v="0"/>
    <x v="0"/>
  </r>
  <r>
    <n v="4798"/>
    <n v="100888710"/>
    <s v="Recovery"/>
    <n v="200"/>
    <s v="AHY"/>
    <s v="U"/>
    <n v="1"/>
    <n v="2010"/>
    <n v="2009"/>
    <n v="5"/>
    <x v="0"/>
    <s v="5B"/>
    <x v="8"/>
    <n v="1"/>
    <n v="7"/>
    <x v="0"/>
    <x v="0"/>
  </r>
  <r>
    <n v="4819"/>
    <n v="100888731"/>
    <s v="Recovery"/>
    <n v="200"/>
    <s v="AHY"/>
    <s v="U"/>
    <n v="12"/>
    <n v="2011"/>
    <n v="2011"/>
    <n v="7"/>
    <x v="0"/>
    <s v="7B"/>
    <x v="9"/>
    <n v="1"/>
    <n v="7"/>
    <x v="0"/>
    <x v="0"/>
  </r>
  <r>
    <n v="4828"/>
    <n v="100888740"/>
    <s v="Recovery"/>
    <n v="200"/>
    <s v="AHY"/>
    <s v="M"/>
    <n v="1"/>
    <n v="2010"/>
    <n v="2009"/>
    <n v="5"/>
    <x v="0"/>
    <s v="5B"/>
    <x v="8"/>
    <n v="1"/>
    <n v="7"/>
    <x v="0"/>
    <x v="0"/>
  </r>
  <r>
    <n v="4835"/>
    <n v="100888747"/>
    <s v="Recovery"/>
    <n v="200"/>
    <s v="AHY"/>
    <s v="F"/>
    <n v="1"/>
    <n v="2010"/>
    <n v="2009"/>
    <n v="5"/>
    <x v="0"/>
    <s v="5B"/>
    <x v="8"/>
    <n v="1"/>
    <n v="7"/>
    <x v="0"/>
    <x v="0"/>
  </r>
  <r>
    <n v="4836"/>
    <n v="100888748"/>
    <s v="Recovery"/>
    <n v="200"/>
    <s v="AHY"/>
    <s v="U"/>
    <n v="11"/>
    <n v="2013"/>
    <n v="2013"/>
    <n v="9"/>
    <x v="0"/>
    <s v="9B"/>
    <x v="4"/>
    <n v="1"/>
    <n v="7"/>
    <x v="0"/>
    <x v="0"/>
  </r>
  <r>
    <n v="4847"/>
    <n v="100888759"/>
    <s v="Recovery"/>
    <n v="200"/>
    <s v="AHY"/>
    <s v="M"/>
    <n v="9"/>
    <n v="2009"/>
    <n v="2009"/>
    <n v="5"/>
    <x v="0"/>
    <s v="5B"/>
    <x v="8"/>
    <n v="1"/>
    <n v="7"/>
    <x v="0"/>
    <x v="0"/>
  </r>
  <r>
    <n v="4862"/>
    <n v="100888774"/>
    <s v="Recovery"/>
    <n v="200"/>
    <s v="AHY"/>
    <s v="M"/>
    <n v="9"/>
    <n v="2014"/>
    <n v="2014"/>
    <n v="10"/>
    <x v="0"/>
    <s v="10B"/>
    <x v="7"/>
    <n v="1"/>
    <n v="7"/>
    <x v="0"/>
    <x v="0"/>
  </r>
  <r>
    <n v="4873"/>
    <n v="100888785"/>
    <s v="Recovery"/>
    <n v="200"/>
    <s v="AHY"/>
    <s v="U"/>
    <n v="1"/>
    <n v="2011"/>
    <n v="2010"/>
    <n v="6"/>
    <x v="0"/>
    <s v="6B"/>
    <x v="2"/>
    <n v="1"/>
    <n v="7"/>
    <x v="0"/>
    <x v="0"/>
  </r>
  <r>
    <n v="4876"/>
    <n v="100888788"/>
    <s v="Recovery"/>
    <n v="200"/>
    <s v="AHY"/>
    <s v="M"/>
    <n v="2"/>
    <n v="2012"/>
    <n v="2011"/>
    <n v="7"/>
    <x v="0"/>
    <s v="7B"/>
    <x v="9"/>
    <n v="1"/>
    <n v="7"/>
    <x v="0"/>
    <x v="0"/>
  </r>
  <r>
    <n v="4878"/>
    <n v="100888790"/>
    <s v="Recovery"/>
    <n v="200"/>
    <s v="AHY"/>
    <s v="U"/>
    <n v="1"/>
    <n v="2010"/>
    <n v="2009"/>
    <n v="5"/>
    <x v="0"/>
    <s v="5B"/>
    <x v="8"/>
    <n v="1"/>
    <n v="7"/>
    <x v="0"/>
    <x v="0"/>
  </r>
  <r>
    <n v="4889"/>
    <n v="100888901"/>
    <s v="Recovery"/>
    <n v="200"/>
    <s v="AHY"/>
    <s v="F"/>
    <n v="1"/>
    <n v="2011"/>
    <n v="2010"/>
    <n v="6"/>
    <x v="0"/>
    <s v="6B"/>
    <x v="2"/>
    <n v="1"/>
    <n v="7"/>
    <x v="0"/>
    <x v="0"/>
  </r>
  <r>
    <n v="4896"/>
    <n v="100888908"/>
    <s v="Recovery"/>
    <n v="200"/>
    <s v="HY"/>
    <s v="M"/>
    <n v="1"/>
    <n v="2010"/>
    <n v="2009"/>
    <n v="5"/>
    <x v="0"/>
    <s v="5B"/>
    <x v="8"/>
    <n v="1"/>
    <n v="7"/>
    <x v="0"/>
    <x v="0"/>
  </r>
  <r>
    <n v="4898"/>
    <n v="100888910"/>
    <s v="Recovery"/>
    <n v="200"/>
    <s v="AHY"/>
    <s v="F"/>
    <n v="12"/>
    <n v="2010"/>
    <n v="2010"/>
    <n v="6"/>
    <x v="0"/>
    <s v="6B"/>
    <x v="2"/>
    <n v="1"/>
    <n v="7"/>
    <x v="0"/>
    <x v="0"/>
  </r>
  <r>
    <n v="4908"/>
    <n v="100888920"/>
    <s v="Recovery"/>
    <n v="200"/>
    <s v="AHY"/>
    <s v="F"/>
    <n v="9"/>
    <n v="2009"/>
    <n v="2009"/>
    <n v="5"/>
    <x v="0"/>
    <s v="5B"/>
    <x v="8"/>
    <n v="1"/>
    <n v="7"/>
    <x v="0"/>
    <x v="0"/>
  </r>
  <r>
    <n v="4910"/>
    <n v="100888922"/>
    <s v="Recovery"/>
    <n v="200"/>
    <s v="AHY"/>
    <s v="M"/>
    <n v="9"/>
    <n v="2009"/>
    <n v="2009"/>
    <n v="5"/>
    <x v="0"/>
    <s v="5B"/>
    <x v="8"/>
    <n v="1"/>
    <n v="7"/>
    <x v="0"/>
    <x v="0"/>
  </r>
  <r>
    <n v="4914"/>
    <n v="100888926"/>
    <s v="Recovery"/>
    <n v="200"/>
    <s v="AHY"/>
    <s v="M"/>
    <n v="1"/>
    <n v="2010"/>
    <n v="2009"/>
    <n v="5"/>
    <x v="0"/>
    <s v="5B"/>
    <x v="8"/>
    <n v="1"/>
    <n v="7"/>
    <x v="0"/>
    <x v="0"/>
  </r>
  <r>
    <n v="4916"/>
    <n v="100888928"/>
    <s v="Recovery"/>
    <n v="200"/>
    <s v="AHY"/>
    <s v="M"/>
    <n v="12"/>
    <n v="2011"/>
    <n v="2011"/>
    <n v="7"/>
    <x v="0"/>
    <s v="7B"/>
    <x v="9"/>
    <n v="1"/>
    <n v="7"/>
    <x v="0"/>
    <x v="0"/>
  </r>
  <r>
    <n v="4920"/>
    <n v="100888932"/>
    <s v="Recovery"/>
    <n v="200"/>
    <s v="AHY"/>
    <s v="M"/>
    <n v="1"/>
    <n v="2010"/>
    <n v="2009"/>
    <n v="5"/>
    <x v="0"/>
    <s v="5B"/>
    <x v="8"/>
    <n v="1"/>
    <n v="7"/>
    <x v="0"/>
    <x v="0"/>
  </r>
  <r>
    <n v="4926"/>
    <n v="100888938"/>
    <s v="Recovery"/>
    <n v="200"/>
    <s v="AHY"/>
    <s v="M"/>
    <n v="12"/>
    <n v="2010"/>
    <n v="2010"/>
    <n v="6"/>
    <x v="0"/>
    <s v="6B"/>
    <x v="2"/>
    <n v="1"/>
    <n v="7"/>
    <x v="0"/>
    <x v="0"/>
  </r>
  <r>
    <n v="4936"/>
    <n v="100888948"/>
    <s v="Recovery"/>
    <n v="200"/>
    <s v="AHY"/>
    <s v="F"/>
    <n v="10"/>
    <n v="2009"/>
    <n v="2009"/>
    <n v="5"/>
    <x v="0"/>
    <s v="5B"/>
    <x v="8"/>
    <n v="1"/>
    <n v="7"/>
    <x v="0"/>
    <x v="0"/>
  </r>
  <r>
    <n v="4949"/>
    <n v="100888961"/>
    <s v="Recovery"/>
    <n v="200"/>
    <s v="AHY"/>
    <s v="F"/>
    <n v="9"/>
    <n v="2011"/>
    <n v="2011"/>
    <n v="7"/>
    <x v="0"/>
    <s v="7B"/>
    <x v="9"/>
    <n v="1"/>
    <n v="7"/>
    <x v="0"/>
    <x v="0"/>
  </r>
  <r>
    <n v="4950"/>
    <n v="100888962"/>
    <s v="Recovery"/>
    <n v="200"/>
    <s v="AHY"/>
    <s v="M"/>
    <n v="9"/>
    <n v="2015"/>
    <n v="2015"/>
    <n v="11"/>
    <x v="0"/>
    <s v="11B"/>
    <x v="14"/>
    <n v="1"/>
    <n v="7"/>
    <x v="0"/>
    <x v="0"/>
  </r>
  <r>
    <n v="4951"/>
    <n v="100888963"/>
    <s v="Recovery"/>
    <n v="200"/>
    <s v="AHY"/>
    <s v="F"/>
    <n v="9"/>
    <n v="2009"/>
    <n v="2009"/>
    <n v="5"/>
    <x v="0"/>
    <s v="5B"/>
    <x v="8"/>
    <n v="1"/>
    <n v="7"/>
    <x v="0"/>
    <x v="0"/>
  </r>
  <r>
    <n v="4954"/>
    <n v="100888966"/>
    <s v="Recovery"/>
    <n v="200"/>
    <s v="AHY"/>
    <s v="F"/>
    <n v="12"/>
    <n v="2012"/>
    <n v="2012"/>
    <n v="8"/>
    <x v="0"/>
    <s v="8B"/>
    <x v="3"/>
    <n v="1"/>
    <n v="7"/>
    <x v="0"/>
    <x v="0"/>
  </r>
  <r>
    <n v="4956"/>
    <n v="100888968"/>
    <s v="Recovery"/>
    <n v="200"/>
    <s v="AHY"/>
    <s v="F"/>
    <n v="9"/>
    <n v="2010"/>
    <n v="2010"/>
    <n v="6"/>
    <x v="0"/>
    <s v="6B"/>
    <x v="2"/>
    <n v="1"/>
    <n v="7"/>
    <x v="0"/>
    <x v="0"/>
  </r>
  <r>
    <n v="4957"/>
    <n v="100888969"/>
    <s v="Recovery"/>
    <n v="200"/>
    <s v="AHY"/>
    <s v="M"/>
    <n v="1"/>
    <n v="2016"/>
    <n v="2015"/>
    <n v="11"/>
    <x v="0"/>
    <s v="11B"/>
    <x v="14"/>
    <n v="1"/>
    <n v="7"/>
    <x v="0"/>
    <x v="0"/>
  </r>
  <r>
    <n v="4958"/>
    <n v="100888970"/>
    <s v="Recovery"/>
    <n v="200"/>
    <s v="AHY"/>
    <s v="F"/>
    <n v="9"/>
    <n v="2014"/>
    <n v="2014"/>
    <n v="10"/>
    <x v="0"/>
    <s v="10B"/>
    <x v="7"/>
    <n v="1"/>
    <n v="7"/>
    <x v="0"/>
    <x v="0"/>
  </r>
  <r>
    <n v="4961"/>
    <n v="100888973"/>
    <s v="Recovery"/>
    <n v="200"/>
    <s v="AHY"/>
    <s v="F"/>
    <n v="1"/>
    <n v="2011"/>
    <n v="2010"/>
    <n v="6"/>
    <x v="0"/>
    <s v="6B"/>
    <x v="2"/>
    <n v="1"/>
    <n v="7"/>
    <x v="0"/>
    <x v="0"/>
  </r>
  <r>
    <n v="4966"/>
    <n v="100888978"/>
    <s v="Recovery"/>
    <n v="200"/>
    <s v="AHY"/>
    <s v="M"/>
    <n v="9"/>
    <n v="2014"/>
    <n v="2014"/>
    <n v="10"/>
    <x v="0"/>
    <s v="10B"/>
    <x v="7"/>
    <n v="1"/>
    <n v="7"/>
    <x v="0"/>
    <x v="0"/>
  </r>
  <r>
    <n v="4967"/>
    <n v="100888979"/>
    <s v="Recovery"/>
    <n v="200"/>
    <s v="AHY"/>
    <s v="M"/>
    <n v="1"/>
    <n v="2010"/>
    <n v="2009"/>
    <n v="5"/>
    <x v="0"/>
    <s v="5B"/>
    <x v="8"/>
    <n v="1"/>
    <n v="7"/>
    <x v="0"/>
    <x v="0"/>
  </r>
  <r>
    <n v="4970"/>
    <n v="100888982"/>
    <s v="Recovery"/>
    <n v="200"/>
    <s v="AHY"/>
    <s v="M"/>
    <n v="1"/>
    <n v="2012"/>
    <n v="2011"/>
    <n v="7"/>
    <x v="0"/>
    <s v="7B"/>
    <x v="9"/>
    <n v="1"/>
    <n v="7"/>
    <x v="0"/>
    <x v="0"/>
  </r>
  <r>
    <n v="4974"/>
    <n v="100888986"/>
    <s v="Recovery"/>
    <n v="200"/>
    <s v="AHY"/>
    <s v="F"/>
    <n v="12"/>
    <n v="2010"/>
    <n v="2010"/>
    <n v="6"/>
    <x v="0"/>
    <s v="6B"/>
    <x v="2"/>
    <n v="1"/>
    <n v="7"/>
    <x v="0"/>
    <x v="0"/>
  </r>
  <r>
    <n v="4982"/>
    <n v="100888994"/>
    <s v="Recovery"/>
    <n v="200"/>
    <s v="AHY"/>
    <s v="F"/>
    <n v="9"/>
    <n v="2009"/>
    <n v="2009"/>
    <n v="5"/>
    <x v="0"/>
    <s v="5B"/>
    <x v="8"/>
    <n v="1"/>
    <n v="7"/>
    <x v="0"/>
    <x v="0"/>
  </r>
  <r>
    <n v="4983"/>
    <n v="100888995"/>
    <s v="Recovery"/>
    <n v="200"/>
    <s v="AHY"/>
    <s v="M"/>
    <n v="9"/>
    <n v="2009"/>
    <n v="2009"/>
    <n v="5"/>
    <x v="0"/>
    <s v="5B"/>
    <x v="8"/>
    <n v="1"/>
    <n v="7"/>
    <x v="0"/>
    <x v="0"/>
  </r>
  <r>
    <n v="4984"/>
    <n v="100888996"/>
    <s v="Recovery"/>
    <n v="200"/>
    <s v="AHY"/>
    <s v="M"/>
    <n v="9"/>
    <n v="2010"/>
    <n v="2010"/>
    <n v="6"/>
    <x v="0"/>
    <s v="6B"/>
    <x v="2"/>
    <n v="1"/>
    <n v="7"/>
    <x v="0"/>
    <x v="0"/>
  </r>
  <r>
    <n v="4989"/>
    <n v="100889001"/>
    <s v="Recovery"/>
    <n v="200"/>
    <s v="HY"/>
    <s v="F"/>
    <n v="9"/>
    <n v="2009"/>
    <n v="2009"/>
    <n v="5"/>
    <x v="0"/>
    <s v="5B"/>
    <x v="8"/>
    <n v="1"/>
    <n v="7"/>
    <x v="0"/>
    <x v="0"/>
  </r>
  <r>
    <n v="4990"/>
    <n v="100889002"/>
    <s v="Recovery"/>
    <n v="200"/>
    <s v="AHY"/>
    <s v="M"/>
    <n v="1"/>
    <n v="2011"/>
    <n v="2010"/>
    <n v="6"/>
    <x v="0"/>
    <s v="6B"/>
    <x v="2"/>
    <n v="1"/>
    <n v="7"/>
    <x v="0"/>
    <x v="0"/>
  </r>
  <r>
    <n v="4993"/>
    <n v="100889005"/>
    <s v="Recovery"/>
    <n v="200"/>
    <s v="AHY"/>
    <s v="M"/>
    <n v="1"/>
    <n v="2016"/>
    <n v="2015"/>
    <n v="11"/>
    <x v="0"/>
    <s v="11B"/>
    <x v="14"/>
    <n v="1"/>
    <n v="7"/>
    <x v="0"/>
    <x v="0"/>
  </r>
  <r>
    <n v="4994"/>
    <n v="100889006"/>
    <s v="Recovery"/>
    <n v="200"/>
    <s v="AHY"/>
    <s v="M"/>
    <n v="1"/>
    <n v="2011"/>
    <n v="2010"/>
    <n v="6"/>
    <x v="0"/>
    <s v="6B"/>
    <x v="2"/>
    <n v="1"/>
    <n v="7"/>
    <x v="0"/>
    <x v="0"/>
  </r>
  <r>
    <n v="4997"/>
    <n v="100889009"/>
    <s v="Recovery"/>
    <n v="200"/>
    <s v="AHY"/>
    <s v="M"/>
    <n v="9"/>
    <n v="2012"/>
    <n v="2012"/>
    <n v="8"/>
    <x v="0"/>
    <s v="8B"/>
    <x v="3"/>
    <n v="1"/>
    <n v="7"/>
    <x v="0"/>
    <x v="0"/>
  </r>
  <r>
    <n v="5000"/>
    <n v="100889012"/>
    <s v="Recovery"/>
    <n v="200"/>
    <s v="AHY"/>
    <s v="F"/>
    <n v="1"/>
    <n v="2011"/>
    <n v="2010"/>
    <n v="6"/>
    <x v="0"/>
    <s v="6B"/>
    <x v="2"/>
    <n v="1"/>
    <n v="7"/>
    <x v="0"/>
    <x v="0"/>
  </r>
  <r>
    <n v="5001"/>
    <n v="100889013"/>
    <s v="Recovery"/>
    <n v="200"/>
    <s v="AHY"/>
    <s v="F"/>
    <n v="9"/>
    <n v="2015"/>
    <n v="2015"/>
    <n v="11"/>
    <x v="0"/>
    <s v="11B"/>
    <x v="14"/>
    <n v="1"/>
    <n v="7"/>
    <x v="0"/>
    <x v="0"/>
  </r>
  <r>
    <n v="5004"/>
    <n v="100889016"/>
    <s v="Recovery"/>
    <n v="200"/>
    <s v="AHY"/>
    <s v="F"/>
    <n v="1"/>
    <n v="2011"/>
    <n v="2010"/>
    <n v="6"/>
    <x v="0"/>
    <s v="6B"/>
    <x v="2"/>
    <n v="1"/>
    <n v="7"/>
    <x v="0"/>
    <x v="0"/>
  </r>
  <r>
    <n v="5013"/>
    <n v="100889025"/>
    <s v="Recovery"/>
    <n v="200"/>
    <s v="AHY"/>
    <s v="F"/>
    <n v="1"/>
    <n v="2010"/>
    <n v="2009"/>
    <n v="5"/>
    <x v="0"/>
    <s v="5B"/>
    <x v="8"/>
    <n v="1"/>
    <n v="7"/>
    <x v="0"/>
    <x v="0"/>
  </r>
  <r>
    <n v="5014"/>
    <n v="100889026"/>
    <s v="Recovery"/>
    <n v="200"/>
    <s v="AHY"/>
    <s v="F"/>
    <n v="1"/>
    <n v="2011"/>
    <n v="2010"/>
    <n v="6"/>
    <x v="0"/>
    <s v="6B"/>
    <x v="2"/>
    <n v="1"/>
    <n v="7"/>
    <x v="0"/>
    <x v="0"/>
  </r>
  <r>
    <n v="5016"/>
    <n v="100889028"/>
    <s v="Recovery"/>
    <n v="200"/>
    <s v="AHY"/>
    <s v="F"/>
    <n v="8"/>
    <n v="2011"/>
    <n v="2011"/>
    <n v="7"/>
    <x v="0"/>
    <s v="7B"/>
    <x v="9"/>
    <n v="1"/>
    <n v="64"/>
    <x v="4"/>
    <x v="1"/>
  </r>
  <r>
    <n v="5018"/>
    <n v="100889030"/>
    <s v="Recovery"/>
    <n v="200"/>
    <s v="AHY"/>
    <s v="M"/>
    <n v="1"/>
    <n v="2010"/>
    <n v="2009"/>
    <n v="5"/>
    <x v="0"/>
    <s v="5B"/>
    <x v="8"/>
    <n v="1"/>
    <n v="7"/>
    <x v="0"/>
    <x v="0"/>
  </r>
  <r>
    <n v="5022"/>
    <n v="100889034"/>
    <s v="Recovery"/>
    <n v="200"/>
    <s v="AHY"/>
    <s v="F"/>
    <n v="1"/>
    <n v="2015"/>
    <n v="2014"/>
    <n v="10"/>
    <x v="0"/>
    <s v="10B"/>
    <x v="7"/>
    <n v="1"/>
    <n v="7"/>
    <x v="0"/>
    <x v="0"/>
  </r>
  <r>
    <n v="5024"/>
    <n v="100889036"/>
    <s v="Recovery"/>
    <n v="200"/>
    <s v="AHY"/>
    <s v="M"/>
    <n v="12"/>
    <n v="2017"/>
    <n v="2017"/>
    <n v="13"/>
    <x v="0"/>
    <s v="13B"/>
    <x v="13"/>
    <n v="1"/>
    <n v="7"/>
    <x v="0"/>
    <x v="0"/>
  </r>
  <r>
    <n v="5030"/>
    <n v="100889042"/>
    <s v="Recovery"/>
    <n v="200"/>
    <s v="AHY"/>
    <s v="F"/>
    <n v="9"/>
    <n v="2009"/>
    <n v="2009"/>
    <n v="5"/>
    <x v="0"/>
    <s v="5B"/>
    <x v="8"/>
    <n v="1"/>
    <n v="7"/>
    <x v="0"/>
    <x v="0"/>
  </r>
  <r>
    <n v="5038"/>
    <n v="100889050"/>
    <s v="Recovery"/>
    <n v="200"/>
    <s v="AHY"/>
    <s v="M"/>
    <n v="1"/>
    <n v="2010"/>
    <n v="2009"/>
    <n v="5"/>
    <x v="0"/>
    <s v="5B"/>
    <x v="8"/>
    <n v="1"/>
    <n v="7"/>
    <x v="0"/>
    <x v="0"/>
  </r>
  <r>
    <n v="5042"/>
    <n v="100889054"/>
    <s v="Recovery"/>
    <n v="200"/>
    <s v="AHY"/>
    <s v="M"/>
    <n v="1"/>
    <n v="2012"/>
    <n v="2011"/>
    <n v="7"/>
    <x v="0"/>
    <s v="7B"/>
    <x v="9"/>
    <n v="1"/>
    <n v="7"/>
    <x v="0"/>
    <x v="0"/>
  </r>
  <r>
    <n v="5054"/>
    <n v="100889066"/>
    <s v="Recovery"/>
    <n v="200"/>
    <s v="AHY"/>
    <s v="M"/>
    <n v="1"/>
    <n v="2010"/>
    <n v="2009"/>
    <n v="5"/>
    <x v="0"/>
    <s v="5B"/>
    <x v="8"/>
    <n v="1"/>
    <n v="7"/>
    <x v="0"/>
    <x v="0"/>
  </r>
  <r>
    <n v="5055"/>
    <n v="100889067"/>
    <s v="Recovery"/>
    <n v="200"/>
    <s v="AHY"/>
    <s v="M"/>
    <n v="12"/>
    <n v="2013"/>
    <n v="2013"/>
    <n v="9"/>
    <x v="0"/>
    <s v="9B"/>
    <x v="4"/>
    <n v="1"/>
    <n v="7"/>
    <x v="0"/>
    <x v="0"/>
  </r>
  <r>
    <n v="5066"/>
    <n v="100889078"/>
    <s v="Recovery"/>
    <n v="200"/>
    <s v="AHY"/>
    <s v="M"/>
    <n v="1"/>
    <n v="2013"/>
    <n v="2012"/>
    <n v="8"/>
    <x v="0"/>
    <s v="8B"/>
    <x v="3"/>
    <n v="1"/>
    <n v="7"/>
    <x v="0"/>
    <x v="0"/>
  </r>
  <r>
    <n v="5068"/>
    <n v="100889080"/>
    <s v="Recovery"/>
    <n v="200"/>
    <s v="AHY"/>
    <s v="M"/>
    <n v="1"/>
    <n v="2010"/>
    <n v="2009"/>
    <n v="5"/>
    <x v="0"/>
    <s v="5B"/>
    <x v="8"/>
    <n v="1"/>
    <n v="7"/>
    <x v="0"/>
    <x v="0"/>
  </r>
  <r>
    <n v="5070"/>
    <n v="100889082"/>
    <s v="Recovery"/>
    <n v="200"/>
    <s v="AHY"/>
    <s v="F"/>
    <n v="1"/>
    <n v="2013"/>
    <n v="2012"/>
    <n v="8"/>
    <x v="0"/>
    <s v="8B"/>
    <x v="3"/>
    <n v="1"/>
    <n v="7"/>
    <x v="0"/>
    <x v="0"/>
  </r>
  <r>
    <n v="5073"/>
    <n v="100889085"/>
    <s v="Recovery"/>
    <n v="200"/>
    <s v="AHY"/>
    <s v="M"/>
    <n v="1"/>
    <n v="2011"/>
    <n v="2010"/>
    <n v="6"/>
    <x v="0"/>
    <s v="6B"/>
    <x v="2"/>
    <n v="1"/>
    <n v="7"/>
    <x v="0"/>
    <x v="0"/>
  </r>
  <r>
    <n v="5081"/>
    <n v="100889093"/>
    <s v="Recovery"/>
    <n v="200"/>
    <s v="AHY"/>
    <s v="M"/>
    <n v="9"/>
    <n v="2009"/>
    <n v="2009"/>
    <n v="5"/>
    <x v="0"/>
    <s v="5B"/>
    <x v="8"/>
    <n v="1"/>
    <n v="7"/>
    <x v="0"/>
    <x v="0"/>
  </r>
  <r>
    <n v="5083"/>
    <n v="100889095"/>
    <s v="Recovery"/>
    <n v="200"/>
    <s v="AHY"/>
    <s v="M"/>
    <n v="11"/>
    <n v="2011"/>
    <n v="2011"/>
    <n v="7"/>
    <x v="0"/>
    <s v="7B"/>
    <x v="9"/>
    <n v="1"/>
    <n v="7"/>
    <x v="0"/>
    <x v="0"/>
  </r>
  <r>
    <n v="5085"/>
    <n v="100889097"/>
    <s v="Recovery"/>
    <n v="200"/>
    <s v="AHY"/>
    <s v="F"/>
    <n v="1"/>
    <n v="2017"/>
    <n v="2016"/>
    <n v="12"/>
    <x v="0"/>
    <s v="12B"/>
    <x v="12"/>
    <n v="1"/>
    <n v="7"/>
    <x v="0"/>
    <x v="0"/>
  </r>
  <r>
    <n v="5094"/>
    <n v="100889106"/>
    <s v="Recovery"/>
    <n v="200"/>
    <s v="AHY"/>
    <s v="M"/>
    <n v="1"/>
    <n v="2017"/>
    <n v="2016"/>
    <n v="12"/>
    <x v="0"/>
    <s v="12B"/>
    <x v="12"/>
    <n v="1"/>
    <n v="7"/>
    <x v="0"/>
    <x v="0"/>
  </r>
  <r>
    <n v="5095"/>
    <n v="100889107"/>
    <s v="Recovery"/>
    <n v="200"/>
    <s v="AHY"/>
    <s v="F"/>
    <n v="12"/>
    <n v="2013"/>
    <n v="2013"/>
    <n v="9"/>
    <x v="0"/>
    <s v="9B"/>
    <x v="4"/>
    <n v="1"/>
    <n v="7"/>
    <x v="0"/>
    <x v="0"/>
  </r>
  <r>
    <n v="5107"/>
    <n v="100889119"/>
    <s v="Recovery"/>
    <n v="200"/>
    <s v="AHY"/>
    <s v="M"/>
    <n v="1"/>
    <n v="2016"/>
    <n v="2015"/>
    <n v="11"/>
    <x v="0"/>
    <s v="11B"/>
    <x v="14"/>
    <n v="1"/>
    <n v="7"/>
    <x v="0"/>
    <x v="0"/>
  </r>
  <r>
    <n v="5109"/>
    <n v="100889121"/>
    <s v="Recovery"/>
    <n v="200"/>
    <s v="AHY"/>
    <s v="F"/>
    <n v="11"/>
    <n v="2014"/>
    <n v="2014"/>
    <n v="10"/>
    <x v="0"/>
    <s v="10B"/>
    <x v="7"/>
    <n v="1"/>
    <n v="7"/>
    <x v="0"/>
    <x v="0"/>
  </r>
  <r>
    <n v="5112"/>
    <n v="100889124"/>
    <s v="Recovery"/>
    <n v="200"/>
    <s v="AHY"/>
    <s v="F"/>
    <n v="1"/>
    <n v="2011"/>
    <n v="2010"/>
    <n v="6"/>
    <x v="0"/>
    <s v="6B"/>
    <x v="2"/>
    <n v="1"/>
    <n v="7"/>
    <x v="0"/>
    <x v="0"/>
  </r>
  <r>
    <n v="5120"/>
    <n v="100889132"/>
    <s v="Recovery"/>
    <n v="200"/>
    <s v="AHY"/>
    <s v="M"/>
    <n v="9"/>
    <n v="2009"/>
    <n v="2009"/>
    <n v="5"/>
    <x v="0"/>
    <s v="5B"/>
    <x v="8"/>
    <n v="1"/>
    <n v="7"/>
    <x v="0"/>
    <x v="0"/>
  </r>
  <r>
    <n v="5124"/>
    <n v="100889136"/>
    <s v="Recovery"/>
    <n v="200"/>
    <s v="AHY"/>
    <s v="M"/>
    <n v="12"/>
    <n v="2011"/>
    <n v="2011"/>
    <n v="7"/>
    <x v="0"/>
    <s v="7B"/>
    <x v="9"/>
    <n v="1"/>
    <n v="7"/>
    <x v="0"/>
    <x v="0"/>
  </r>
  <r>
    <n v="5129"/>
    <n v="100889141"/>
    <s v="Recovery"/>
    <n v="200"/>
    <s v="AHY"/>
    <s v="F"/>
    <n v="12"/>
    <n v="2018"/>
    <n v="2018"/>
    <n v="14"/>
    <x v="0"/>
    <s v="14B"/>
    <x v="10"/>
    <n v="1"/>
    <n v="7"/>
    <x v="0"/>
    <x v="0"/>
  </r>
  <r>
    <n v="5131"/>
    <n v="100889143"/>
    <s v="Recovery"/>
    <n v="200"/>
    <s v="AHY"/>
    <s v="M"/>
    <n v="9"/>
    <n v="2010"/>
    <n v="2010"/>
    <n v="6"/>
    <x v="0"/>
    <s v="6B"/>
    <x v="2"/>
    <n v="1"/>
    <n v="7"/>
    <x v="0"/>
    <x v="0"/>
  </r>
  <r>
    <n v="5133"/>
    <n v="100889145"/>
    <s v="Recovery"/>
    <n v="200"/>
    <s v="AHY"/>
    <s v="F"/>
    <n v="1"/>
    <n v="2015"/>
    <n v="2014"/>
    <n v="10"/>
    <x v="0"/>
    <s v="10B"/>
    <x v="7"/>
    <n v="1"/>
    <n v="7"/>
    <x v="0"/>
    <x v="0"/>
  </r>
  <r>
    <n v="5134"/>
    <n v="100889146"/>
    <s v="Recovery"/>
    <n v="200"/>
    <s v="AHY"/>
    <s v="M"/>
    <n v="9"/>
    <n v="2014"/>
    <n v="2014"/>
    <n v="10"/>
    <x v="0"/>
    <s v="10B"/>
    <x v="7"/>
    <n v="1"/>
    <n v="34"/>
    <x v="9"/>
    <x v="1"/>
  </r>
  <r>
    <n v="5140"/>
    <n v="100889152"/>
    <s v="Recovery"/>
    <n v="200"/>
    <s v="AHY"/>
    <s v="F"/>
    <n v="1"/>
    <n v="2013"/>
    <n v="2012"/>
    <n v="8"/>
    <x v="0"/>
    <s v="8B"/>
    <x v="3"/>
    <n v="1"/>
    <n v="7"/>
    <x v="0"/>
    <x v="0"/>
  </r>
  <r>
    <n v="5142"/>
    <n v="100889154"/>
    <s v="Recovery"/>
    <n v="200"/>
    <s v="AHY"/>
    <s v="M"/>
    <n v="1"/>
    <n v="2013"/>
    <n v="2012"/>
    <n v="8"/>
    <x v="0"/>
    <s v="8B"/>
    <x v="3"/>
    <n v="1"/>
    <n v="7"/>
    <x v="0"/>
    <x v="0"/>
  </r>
  <r>
    <n v="5144"/>
    <n v="100889156"/>
    <s v="Recovery"/>
    <n v="200"/>
    <s v="AHY"/>
    <s v="M"/>
    <n v="1"/>
    <n v="2012"/>
    <n v="2011"/>
    <n v="7"/>
    <x v="0"/>
    <s v="7B"/>
    <x v="9"/>
    <n v="1"/>
    <n v="7"/>
    <x v="0"/>
    <x v="0"/>
  </r>
  <r>
    <n v="5156"/>
    <n v="100889168"/>
    <s v="Recovery"/>
    <n v="200"/>
    <s v="AHY"/>
    <s v="M"/>
    <n v="1"/>
    <n v="2010"/>
    <n v="2009"/>
    <n v="5"/>
    <x v="0"/>
    <s v="5B"/>
    <x v="8"/>
    <n v="1"/>
    <n v="7"/>
    <x v="0"/>
    <x v="0"/>
  </r>
  <r>
    <n v="5157"/>
    <n v="100889169"/>
    <s v="Recovery"/>
    <n v="200"/>
    <s v="AHY"/>
    <s v="M"/>
    <n v="9"/>
    <n v="2018"/>
    <n v="2018"/>
    <n v="14"/>
    <x v="0"/>
    <s v="14B"/>
    <x v="10"/>
    <n v="1"/>
    <n v="7"/>
    <x v="0"/>
    <x v="0"/>
  </r>
  <r>
    <n v="5158"/>
    <n v="100889170"/>
    <s v="Recovery"/>
    <n v="200"/>
    <s v="AHY"/>
    <s v="M"/>
    <n v="8"/>
    <n v="2012"/>
    <n v="2012"/>
    <n v="8"/>
    <x v="0"/>
    <s v="8B"/>
    <x v="3"/>
    <n v="1"/>
    <n v="64"/>
    <x v="4"/>
    <x v="1"/>
  </r>
  <r>
    <n v="5164"/>
    <n v="100889176"/>
    <s v="Recovery"/>
    <n v="200"/>
    <s v="AHY"/>
    <s v="F"/>
    <n v="1"/>
    <n v="2011"/>
    <n v="2010"/>
    <n v="6"/>
    <x v="0"/>
    <s v="6B"/>
    <x v="2"/>
    <n v="1"/>
    <n v="7"/>
    <x v="0"/>
    <x v="0"/>
  </r>
  <r>
    <n v="5169"/>
    <n v="100889181"/>
    <s v="Recovery"/>
    <n v="200"/>
    <s v="HY"/>
    <s v="F"/>
    <n v="9"/>
    <n v="2009"/>
    <n v="2009"/>
    <n v="5"/>
    <x v="0"/>
    <s v="5B"/>
    <x v="8"/>
    <n v="1"/>
    <n v="7"/>
    <x v="0"/>
    <x v="0"/>
  </r>
  <r>
    <n v="5171"/>
    <n v="100889183"/>
    <s v="Recovery"/>
    <n v="200"/>
    <s v="AHY"/>
    <s v="F"/>
    <n v="9"/>
    <n v="2011"/>
    <n v="2011"/>
    <n v="7"/>
    <x v="0"/>
    <s v="7B"/>
    <x v="9"/>
    <n v="1"/>
    <n v="7"/>
    <x v="0"/>
    <x v="0"/>
  </r>
  <r>
    <n v="5172"/>
    <n v="100889184"/>
    <s v="Recovery"/>
    <n v="200"/>
    <s v="HY"/>
    <s v="M"/>
    <n v="9"/>
    <n v="2009"/>
    <n v="2009"/>
    <n v="5"/>
    <x v="0"/>
    <s v="5B"/>
    <x v="8"/>
    <n v="1"/>
    <n v="7"/>
    <x v="0"/>
    <x v="0"/>
  </r>
  <r>
    <n v="5173"/>
    <n v="100889185"/>
    <s v="Recovery"/>
    <n v="200"/>
    <s v="AHY"/>
    <s v="F"/>
    <n v="11"/>
    <n v="2014"/>
    <n v="2014"/>
    <n v="10"/>
    <x v="0"/>
    <s v="10B"/>
    <x v="7"/>
    <n v="1"/>
    <n v="7"/>
    <x v="0"/>
    <x v="0"/>
  </r>
  <r>
    <n v="5179"/>
    <n v="100889191"/>
    <s v="Recovery"/>
    <n v="200"/>
    <s v="AHY"/>
    <s v="M"/>
    <n v="1"/>
    <n v="2011"/>
    <n v="2010"/>
    <n v="6"/>
    <x v="0"/>
    <s v="6B"/>
    <x v="2"/>
    <n v="1"/>
    <n v="7"/>
    <x v="0"/>
    <x v="0"/>
  </r>
  <r>
    <n v="5180"/>
    <n v="100889192"/>
    <s v="Recovery"/>
    <n v="200"/>
    <s v="AHY"/>
    <s v="F"/>
    <n v="1"/>
    <n v="2016"/>
    <n v="2015"/>
    <n v="11"/>
    <x v="0"/>
    <s v="11B"/>
    <x v="14"/>
    <n v="1"/>
    <n v="7"/>
    <x v="0"/>
    <x v="0"/>
  </r>
  <r>
    <n v="5183"/>
    <n v="100889195"/>
    <s v="Recovery"/>
    <n v="200"/>
    <s v="AHY"/>
    <s v="M"/>
    <n v="12"/>
    <n v="2018"/>
    <n v="2018"/>
    <n v="14"/>
    <x v="0"/>
    <s v="14B"/>
    <x v="10"/>
    <n v="1"/>
    <n v="7"/>
    <x v="0"/>
    <x v="0"/>
  </r>
  <r>
    <n v="5194"/>
    <n v="100889206"/>
    <s v="Recovery"/>
    <n v="200"/>
    <s v="AHY"/>
    <s v="F"/>
    <n v="2"/>
    <n v="2016"/>
    <n v="2015"/>
    <n v="11"/>
    <x v="0"/>
    <s v="11B"/>
    <x v="14"/>
    <n v="1"/>
    <n v="7"/>
    <x v="0"/>
    <x v="0"/>
  </r>
  <r>
    <n v="5198"/>
    <n v="100889210"/>
    <s v="Recovery"/>
    <n v="200"/>
    <s v="AHY"/>
    <s v="F"/>
    <n v="9"/>
    <n v="2017"/>
    <n v="2017"/>
    <n v="13"/>
    <x v="0"/>
    <s v="13B"/>
    <x v="13"/>
    <n v="1"/>
    <n v="7"/>
    <x v="0"/>
    <x v="0"/>
  </r>
  <r>
    <n v="5199"/>
    <n v="100889211"/>
    <s v="Recovery"/>
    <n v="200"/>
    <s v="AHY"/>
    <s v="M"/>
    <n v="12"/>
    <n v="2010"/>
    <n v="2010"/>
    <n v="6"/>
    <x v="0"/>
    <s v="6B"/>
    <x v="2"/>
    <n v="1"/>
    <n v="7"/>
    <x v="0"/>
    <x v="0"/>
  </r>
  <r>
    <n v="5200"/>
    <n v="100889212"/>
    <s v="Recovery"/>
    <n v="200"/>
    <s v="AHY"/>
    <s v="F"/>
    <n v="11"/>
    <n v="2013"/>
    <n v="2013"/>
    <n v="9"/>
    <x v="0"/>
    <s v="9B"/>
    <x v="4"/>
    <n v="1"/>
    <n v="7"/>
    <x v="0"/>
    <x v="0"/>
  </r>
  <r>
    <n v="5206"/>
    <n v="100889218"/>
    <s v="Recovery"/>
    <n v="200"/>
    <s v="AHY"/>
    <s v="F"/>
    <n v="11"/>
    <n v="2014"/>
    <n v="2014"/>
    <n v="10"/>
    <x v="0"/>
    <s v="10B"/>
    <x v="7"/>
    <n v="1"/>
    <n v="7"/>
    <x v="0"/>
    <x v="0"/>
  </r>
  <r>
    <n v="5211"/>
    <n v="100889223"/>
    <s v="Recovery"/>
    <n v="200"/>
    <s v="AHY"/>
    <s v="M"/>
    <n v="12"/>
    <n v="2012"/>
    <n v="2012"/>
    <n v="8"/>
    <x v="0"/>
    <s v="8B"/>
    <x v="3"/>
    <n v="1"/>
    <n v="7"/>
    <x v="0"/>
    <x v="0"/>
  </r>
  <r>
    <n v="5225"/>
    <n v="100889237"/>
    <s v="Recovery"/>
    <n v="200"/>
    <s v="AHY"/>
    <s v="M"/>
    <n v="1"/>
    <n v="2013"/>
    <n v="2012"/>
    <n v="8"/>
    <x v="0"/>
    <s v="8B"/>
    <x v="3"/>
    <n v="1"/>
    <n v="7"/>
    <x v="0"/>
    <x v="0"/>
  </r>
  <r>
    <n v="5226"/>
    <n v="100889238"/>
    <s v="Recovery"/>
    <n v="200"/>
    <s v="AHY"/>
    <s v="M"/>
    <n v="1"/>
    <n v="2013"/>
    <n v="2012"/>
    <n v="8"/>
    <x v="0"/>
    <s v="8B"/>
    <x v="3"/>
    <n v="1"/>
    <n v="7"/>
    <x v="0"/>
    <x v="0"/>
  </r>
  <r>
    <n v="5227"/>
    <n v="100889239"/>
    <s v="Recovery"/>
    <n v="200"/>
    <s v="AHY"/>
    <s v="M"/>
    <n v="1"/>
    <n v="2010"/>
    <n v="2009"/>
    <n v="5"/>
    <x v="0"/>
    <s v="5B"/>
    <x v="8"/>
    <n v="1"/>
    <n v="7"/>
    <x v="0"/>
    <x v="0"/>
  </r>
  <r>
    <n v="5236"/>
    <n v="100889248"/>
    <s v="Recovery"/>
    <n v="200"/>
    <s v="AHY"/>
    <s v="F"/>
    <n v="1"/>
    <n v="2010"/>
    <n v="2009"/>
    <n v="5"/>
    <x v="0"/>
    <s v="5B"/>
    <x v="8"/>
    <n v="1"/>
    <n v="7"/>
    <x v="0"/>
    <x v="0"/>
  </r>
  <r>
    <n v="5238"/>
    <n v="100889250"/>
    <s v="Recovery"/>
    <n v="200"/>
    <s v="AHY"/>
    <s v="F"/>
    <n v="11"/>
    <n v="2011"/>
    <n v="2011"/>
    <n v="7"/>
    <x v="0"/>
    <s v="7B"/>
    <x v="9"/>
    <n v="1"/>
    <n v="7"/>
    <x v="0"/>
    <x v="0"/>
  </r>
  <r>
    <n v="5244"/>
    <n v="100889256"/>
    <s v="Recovery"/>
    <n v="200"/>
    <s v="AHY"/>
    <s v="F"/>
    <n v="1"/>
    <n v="2011"/>
    <n v="2010"/>
    <n v="6"/>
    <x v="0"/>
    <s v="6B"/>
    <x v="2"/>
    <n v="1"/>
    <n v="7"/>
    <x v="0"/>
    <x v="0"/>
  </r>
  <r>
    <n v="5245"/>
    <n v="100889257"/>
    <s v="Recovery"/>
    <n v="200"/>
    <s v="AHY"/>
    <s v="F"/>
    <n v="12"/>
    <n v="2014"/>
    <n v="2014"/>
    <n v="10"/>
    <x v="0"/>
    <s v="10B"/>
    <x v="7"/>
    <n v="1"/>
    <n v="7"/>
    <x v="0"/>
    <x v="0"/>
  </r>
  <r>
    <n v="5246"/>
    <n v="100889258"/>
    <s v="Recovery"/>
    <n v="200"/>
    <s v="AHY"/>
    <s v="F"/>
    <n v="2"/>
    <n v="2012"/>
    <n v="2011"/>
    <n v="7"/>
    <x v="0"/>
    <s v="7B"/>
    <x v="9"/>
    <n v="1"/>
    <n v="7"/>
    <x v="0"/>
    <x v="0"/>
  </r>
  <r>
    <n v="5247"/>
    <n v="100889259"/>
    <s v="Recovery"/>
    <n v="200"/>
    <s v="AHY"/>
    <s v="M"/>
    <n v="9"/>
    <n v="2016"/>
    <n v="2016"/>
    <n v="12"/>
    <x v="0"/>
    <s v="12B"/>
    <x v="12"/>
    <n v="1"/>
    <n v="7"/>
    <x v="0"/>
    <x v="0"/>
  </r>
  <r>
    <n v="5252"/>
    <n v="100889264"/>
    <s v="Recovery"/>
    <n v="200"/>
    <s v="AHY"/>
    <s v="F"/>
    <n v="9"/>
    <n v="2010"/>
    <n v="2010"/>
    <n v="6"/>
    <x v="0"/>
    <s v="6B"/>
    <x v="2"/>
    <n v="1"/>
    <n v="7"/>
    <x v="0"/>
    <x v="0"/>
  </r>
  <r>
    <n v="5263"/>
    <n v="100889275"/>
    <s v="Recovery"/>
    <n v="200"/>
    <s v="AHY"/>
    <s v="F"/>
    <n v="1"/>
    <n v="2010"/>
    <n v="2009"/>
    <n v="5"/>
    <x v="0"/>
    <s v="5B"/>
    <x v="8"/>
    <n v="1"/>
    <n v="7"/>
    <x v="0"/>
    <x v="0"/>
  </r>
  <r>
    <n v="5272"/>
    <n v="100889284"/>
    <s v="Recovery"/>
    <n v="200"/>
    <s v="AHY"/>
    <s v="M"/>
    <n v="9"/>
    <n v="2011"/>
    <n v="2011"/>
    <n v="7"/>
    <x v="0"/>
    <s v="7B"/>
    <x v="9"/>
    <n v="1"/>
    <n v="7"/>
    <x v="0"/>
    <x v="0"/>
  </r>
  <r>
    <n v="5273"/>
    <n v="100889285"/>
    <s v="Recovery"/>
    <n v="200"/>
    <s v="AHY"/>
    <s v="F"/>
    <n v="12"/>
    <n v="2011"/>
    <n v="2011"/>
    <n v="7"/>
    <x v="0"/>
    <s v="7B"/>
    <x v="9"/>
    <n v="1"/>
    <n v="7"/>
    <x v="0"/>
    <x v="0"/>
  </r>
  <r>
    <n v="5279"/>
    <n v="100889291"/>
    <s v="Recovery"/>
    <n v="200"/>
    <s v="AHY"/>
    <s v="F"/>
    <n v="1"/>
    <n v="2012"/>
    <n v="2011"/>
    <n v="7"/>
    <x v="0"/>
    <s v="7B"/>
    <x v="9"/>
    <n v="1"/>
    <n v="7"/>
    <x v="0"/>
    <x v="0"/>
  </r>
  <r>
    <n v="5283"/>
    <n v="100889295"/>
    <s v="Recovery"/>
    <n v="200"/>
    <s v="AHY"/>
    <s v="F"/>
    <n v="1"/>
    <n v="2016"/>
    <n v="2015"/>
    <n v="11"/>
    <x v="0"/>
    <s v="11B"/>
    <x v="14"/>
    <n v="1"/>
    <n v="7"/>
    <x v="0"/>
    <x v="0"/>
  </r>
  <r>
    <n v="5284"/>
    <n v="100889296"/>
    <s v="Recovery"/>
    <n v="200"/>
    <s v="AHY"/>
    <s v="F"/>
    <n v="1"/>
    <n v="2013"/>
    <n v="2012"/>
    <n v="8"/>
    <x v="0"/>
    <s v="8B"/>
    <x v="3"/>
    <n v="1"/>
    <n v="7"/>
    <x v="0"/>
    <x v="0"/>
  </r>
  <r>
    <n v="5286"/>
    <n v="100889298"/>
    <s v="Recovery"/>
    <n v="200"/>
    <s v="AHY"/>
    <s v="F"/>
    <n v="1"/>
    <n v="2011"/>
    <n v="2010"/>
    <n v="6"/>
    <x v="0"/>
    <s v="6B"/>
    <x v="2"/>
    <n v="1"/>
    <n v="7"/>
    <x v="0"/>
    <x v="0"/>
  </r>
  <r>
    <n v="5287"/>
    <n v="100889299"/>
    <s v="Recovery"/>
    <n v="200"/>
    <s v="AHY"/>
    <s v="M"/>
    <n v="9"/>
    <n v="2010"/>
    <n v="2010"/>
    <n v="6"/>
    <x v="0"/>
    <s v="6B"/>
    <x v="2"/>
    <n v="1"/>
    <n v="7"/>
    <x v="0"/>
    <x v="0"/>
  </r>
  <r>
    <n v="5291"/>
    <n v="100889303"/>
    <s v="Recovery"/>
    <n v="200"/>
    <s v="AHY"/>
    <s v="U"/>
    <n v="11"/>
    <n v="2013"/>
    <n v="2013"/>
    <n v="9"/>
    <x v="0"/>
    <s v="9B"/>
    <x v="4"/>
    <n v="1"/>
    <n v="7"/>
    <x v="0"/>
    <x v="0"/>
  </r>
  <r>
    <n v="5297"/>
    <n v="100889309"/>
    <s v="Recovery"/>
    <n v="200"/>
    <s v="AHY"/>
    <s v="F"/>
    <n v="12"/>
    <n v="2009"/>
    <n v="2009"/>
    <n v="5"/>
    <x v="0"/>
    <s v="5B"/>
    <x v="8"/>
    <n v="1"/>
    <n v="7"/>
    <x v="0"/>
    <x v="0"/>
  </r>
  <r>
    <n v="5301"/>
    <n v="100889313"/>
    <s v="Recovery"/>
    <n v="200"/>
    <s v="AHY"/>
    <s v="U"/>
    <n v="1"/>
    <n v="2010"/>
    <n v="2009"/>
    <n v="5"/>
    <x v="0"/>
    <s v="5B"/>
    <x v="8"/>
    <n v="1"/>
    <n v="7"/>
    <x v="0"/>
    <x v="0"/>
  </r>
  <r>
    <n v="5308"/>
    <n v="100889320"/>
    <s v="Recovery"/>
    <n v="200"/>
    <s v="AHY"/>
    <s v="F"/>
    <n v="1"/>
    <n v="2010"/>
    <n v="2009"/>
    <n v="5"/>
    <x v="0"/>
    <s v="5B"/>
    <x v="8"/>
    <n v="1"/>
    <n v="7"/>
    <x v="0"/>
    <x v="0"/>
  </r>
  <r>
    <n v="5312"/>
    <n v="100889324"/>
    <s v="Recovery"/>
    <n v="200"/>
    <s v="AHY"/>
    <s v="F"/>
    <n v="9"/>
    <n v="2017"/>
    <n v="2017"/>
    <n v="13"/>
    <x v="0"/>
    <s v="13B"/>
    <x v="13"/>
    <n v="1"/>
    <n v="7"/>
    <x v="0"/>
    <x v="0"/>
  </r>
  <r>
    <n v="5316"/>
    <n v="100889328"/>
    <s v="Recovery"/>
    <n v="200"/>
    <s v="AHY"/>
    <s v="U"/>
    <n v="11"/>
    <n v="2010"/>
    <n v="2010"/>
    <n v="6"/>
    <x v="0"/>
    <s v="6B"/>
    <x v="2"/>
    <n v="1"/>
    <n v="7"/>
    <x v="0"/>
    <x v="0"/>
  </r>
  <r>
    <n v="5321"/>
    <n v="100889333"/>
    <s v="Recovery"/>
    <n v="200"/>
    <s v="AHY"/>
    <s v="M"/>
    <n v="12"/>
    <n v="2009"/>
    <n v="2009"/>
    <n v="5"/>
    <x v="0"/>
    <s v="5B"/>
    <x v="8"/>
    <n v="1"/>
    <n v="7"/>
    <x v="0"/>
    <x v="0"/>
  </r>
  <r>
    <n v="5323"/>
    <n v="100889335"/>
    <s v="Recovery"/>
    <n v="200"/>
    <s v="AHY"/>
    <s v="U"/>
    <n v="9"/>
    <n v="2009"/>
    <n v="2009"/>
    <n v="5"/>
    <x v="0"/>
    <s v="5B"/>
    <x v="8"/>
    <n v="1"/>
    <n v="7"/>
    <x v="0"/>
    <x v="0"/>
  </r>
  <r>
    <n v="5325"/>
    <n v="100889337"/>
    <s v="Recovery"/>
    <n v="200"/>
    <s v="AHY"/>
    <s v="F"/>
    <n v="1"/>
    <n v="2017"/>
    <n v="2016"/>
    <n v="12"/>
    <x v="0"/>
    <s v="12B"/>
    <x v="12"/>
    <n v="1"/>
    <n v="7"/>
    <x v="0"/>
    <x v="0"/>
  </r>
  <r>
    <n v="5328"/>
    <n v="100889340"/>
    <s v="Recovery"/>
    <n v="200"/>
    <s v="AHY"/>
    <s v="M"/>
    <n v="1"/>
    <n v="2010"/>
    <n v="2009"/>
    <n v="5"/>
    <x v="0"/>
    <s v="5B"/>
    <x v="8"/>
    <n v="1"/>
    <n v="7"/>
    <x v="0"/>
    <x v="0"/>
  </r>
  <r>
    <n v="5329"/>
    <n v="100889341"/>
    <s v="Recovery"/>
    <n v="200"/>
    <s v="AHY"/>
    <s v="M"/>
    <n v="9"/>
    <n v="2012"/>
    <n v="2012"/>
    <n v="8"/>
    <x v="0"/>
    <s v="8B"/>
    <x v="3"/>
    <n v="1"/>
    <n v="7"/>
    <x v="0"/>
    <x v="0"/>
  </r>
  <r>
    <n v="5331"/>
    <n v="100889343"/>
    <s v="Recovery"/>
    <n v="200"/>
    <s v="AHY"/>
    <s v="M"/>
    <n v="9"/>
    <n v="2010"/>
    <n v="2010"/>
    <n v="6"/>
    <x v="0"/>
    <s v="6B"/>
    <x v="2"/>
    <n v="1"/>
    <n v="7"/>
    <x v="0"/>
    <x v="0"/>
  </r>
  <r>
    <n v="5333"/>
    <n v="100889345"/>
    <s v="Recovery"/>
    <n v="200"/>
    <s v="AHY"/>
    <s v="M"/>
    <n v="1"/>
    <n v="2010"/>
    <n v="2009"/>
    <n v="5"/>
    <x v="0"/>
    <s v="5B"/>
    <x v="8"/>
    <n v="1"/>
    <n v="7"/>
    <x v="0"/>
    <x v="0"/>
  </r>
  <r>
    <n v="5337"/>
    <n v="100889349"/>
    <s v="Recovery"/>
    <n v="200"/>
    <s v="AHY"/>
    <s v="F"/>
    <n v="1"/>
    <n v="2013"/>
    <n v="2012"/>
    <n v="8"/>
    <x v="0"/>
    <s v="8B"/>
    <x v="3"/>
    <n v="1"/>
    <n v="7"/>
    <x v="0"/>
    <x v="0"/>
  </r>
  <r>
    <n v="5338"/>
    <n v="100889350"/>
    <s v="Recovery"/>
    <n v="200"/>
    <s v="AHY"/>
    <s v="F"/>
    <n v="12"/>
    <n v="2010"/>
    <n v="2010"/>
    <n v="6"/>
    <x v="0"/>
    <s v="6B"/>
    <x v="2"/>
    <n v="1"/>
    <n v="7"/>
    <x v="0"/>
    <x v="0"/>
  </r>
  <r>
    <n v="5339"/>
    <n v="100889351"/>
    <s v="Recovery"/>
    <n v="200"/>
    <s v="AHY"/>
    <s v="M"/>
    <n v="9"/>
    <n v="2009"/>
    <n v="2009"/>
    <n v="5"/>
    <x v="0"/>
    <s v="5B"/>
    <x v="8"/>
    <n v="1"/>
    <n v="7"/>
    <x v="0"/>
    <x v="0"/>
  </r>
  <r>
    <n v="5340"/>
    <n v="100889352"/>
    <s v="Recovery"/>
    <n v="200"/>
    <s v="AHY"/>
    <s v="F"/>
    <n v="9"/>
    <n v="2009"/>
    <n v="2009"/>
    <n v="5"/>
    <x v="0"/>
    <s v="5B"/>
    <x v="8"/>
    <n v="1"/>
    <n v="7"/>
    <x v="0"/>
    <x v="0"/>
  </r>
  <r>
    <n v="5343"/>
    <n v="100889355"/>
    <s v="Recovery"/>
    <n v="200"/>
    <s v="AHY"/>
    <s v="M"/>
    <n v="9"/>
    <n v="2012"/>
    <n v="2012"/>
    <n v="8"/>
    <x v="0"/>
    <s v="8B"/>
    <x v="3"/>
    <n v="1"/>
    <n v="7"/>
    <x v="0"/>
    <x v="0"/>
  </r>
  <r>
    <n v="5344"/>
    <n v="100889356"/>
    <s v="Recovery"/>
    <n v="200"/>
    <s v="AHY"/>
    <s v="M"/>
    <n v="12"/>
    <n v="2010"/>
    <n v="2010"/>
    <n v="6"/>
    <x v="0"/>
    <s v="6B"/>
    <x v="2"/>
    <n v="1"/>
    <n v="7"/>
    <x v="0"/>
    <x v="0"/>
  </r>
  <r>
    <n v="5346"/>
    <n v="100889358"/>
    <s v="Recovery"/>
    <n v="200"/>
    <s v="AHY"/>
    <s v="M"/>
    <n v="1"/>
    <n v="2015"/>
    <n v="2014"/>
    <n v="10"/>
    <x v="0"/>
    <s v="10B"/>
    <x v="7"/>
    <n v="1"/>
    <n v="7"/>
    <x v="0"/>
    <x v="0"/>
  </r>
  <r>
    <n v="5352"/>
    <n v="100889364"/>
    <s v="Recovery"/>
    <n v="200"/>
    <s v="AHY"/>
    <s v="F"/>
    <n v="12"/>
    <n v="2016"/>
    <n v="2016"/>
    <n v="12"/>
    <x v="0"/>
    <s v="12B"/>
    <x v="12"/>
    <n v="1"/>
    <n v="7"/>
    <x v="0"/>
    <x v="0"/>
  </r>
  <r>
    <n v="5355"/>
    <n v="100889367"/>
    <s v="Recovery"/>
    <n v="200"/>
    <s v="AHY"/>
    <s v="F"/>
    <n v="9"/>
    <n v="2009"/>
    <n v="2009"/>
    <n v="5"/>
    <x v="0"/>
    <s v="5B"/>
    <x v="8"/>
    <n v="1"/>
    <n v="7"/>
    <x v="0"/>
    <x v="0"/>
  </r>
  <r>
    <n v="5359"/>
    <n v="100889371"/>
    <s v="Recovery"/>
    <n v="200"/>
    <s v="AHY"/>
    <s v="M"/>
    <n v="9"/>
    <n v="2019"/>
    <n v="2019"/>
    <n v="15"/>
    <x v="0"/>
    <s v="15B"/>
    <x v="11"/>
    <n v="1"/>
    <n v="7"/>
    <x v="0"/>
    <x v="0"/>
  </r>
  <r>
    <n v="5362"/>
    <n v="100889374"/>
    <s v="Recovery"/>
    <n v="200"/>
    <s v="AHY"/>
    <s v="F"/>
    <n v="1"/>
    <n v="2010"/>
    <n v="2009"/>
    <n v="5"/>
    <x v="0"/>
    <s v="5B"/>
    <x v="8"/>
    <n v="1"/>
    <n v="7"/>
    <x v="0"/>
    <x v="0"/>
  </r>
  <r>
    <n v="5364"/>
    <n v="100889376"/>
    <s v="Recovery"/>
    <n v="200"/>
    <s v="AHY"/>
    <s v="F"/>
    <n v="9"/>
    <n v="2010"/>
    <n v="2010"/>
    <n v="6"/>
    <x v="0"/>
    <s v="6B"/>
    <x v="2"/>
    <n v="1"/>
    <n v="7"/>
    <x v="0"/>
    <x v="0"/>
  </r>
  <r>
    <n v="5366"/>
    <n v="100889378"/>
    <s v="Recovery"/>
    <n v="200"/>
    <s v="AHY"/>
    <s v="F"/>
    <n v="12"/>
    <n v="2010"/>
    <n v="2010"/>
    <n v="6"/>
    <x v="0"/>
    <s v="6B"/>
    <x v="2"/>
    <n v="1"/>
    <n v="7"/>
    <x v="0"/>
    <x v="0"/>
  </r>
  <r>
    <n v="5367"/>
    <n v="100889379"/>
    <s v="Recovery"/>
    <n v="200"/>
    <s v="AHY"/>
    <s v="F"/>
    <n v="2"/>
    <n v="2012"/>
    <n v="2011"/>
    <n v="7"/>
    <x v="0"/>
    <s v="7B"/>
    <x v="9"/>
    <n v="1"/>
    <n v="7"/>
    <x v="0"/>
    <x v="0"/>
  </r>
  <r>
    <n v="5368"/>
    <n v="100889380"/>
    <s v="Recovery"/>
    <n v="200"/>
    <s v="AHY"/>
    <s v="F"/>
    <n v="11"/>
    <n v="2019"/>
    <n v="2019"/>
    <n v="15"/>
    <x v="0"/>
    <s v="15B"/>
    <x v="11"/>
    <n v="1"/>
    <n v="7"/>
    <x v="0"/>
    <x v="0"/>
  </r>
  <r>
    <n v="5373"/>
    <n v="100889385"/>
    <s v="Recovery"/>
    <n v="200"/>
    <s v="AHY"/>
    <s v="M"/>
    <n v="12"/>
    <n v="2009"/>
    <n v="2009"/>
    <n v="5"/>
    <x v="0"/>
    <s v="5B"/>
    <x v="8"/>
    <n v="1"/>
    <n v="7"/>
    <x v="0"/>
    <x v="0"/>
  </r>
  <r>
    <n v="5376"/>
    <n v="100889388"/>
    <s v="Recovery"/>
    <n v="200"/>
    <s v="AHY"/>
    <s v="F"/>
    <n v="1"/>
    <n v="2011"/>
    <n v="2010"/>
    <n v="6"/>
    <x v="0"/>
    <s v="6B"/>
    <x v="2"/>
    <n v="1"/>
    <n v="7"/>
    <x v="0"/>
    <x v="0"/>
  </r>
  <r>
    <n v="5378"/>
    <n v="100889390"/>
    <s v="Recovery"/>
    <n v="200"/>
    <s v="AHY"/>
    <s v="M"/>
    <n v="1"/>
    <n v="2011"/>
    <n v="2010"/>
    <n v="6"/>
    <x v="0"/>
    <s v="6B"/>
    <x v="2"/>
    <n v="1"/>
    <n v="7"/>
    <x v="0"/>
    <x v="0"/>
  </r>
  <r>
    <n v="5379"/>
    <n v="100889391"/>
    <s v="Recovery"/>
    <n v="200"/>
    <s v="AHY"/>
    <s v="F"/>
    <n v="9"/>
    <n v="2013"/>
    <n v="2013"/>
    <n v="9"/>
    <x v="0"/>
    <s v="9B"/>
    <x v="4"/>
    <n v="1"/>
    <n v="7"/>
    <x v="0"/>
    <x v="0"/>
  </r>
  <r>
    <n v="5390"/>
    <n v="100889402"/>
    <s v="Recovery"/>
    <n v="200"/>
    <s v="AHY"/>
    <s v="F"/>
    <n v="1"/>
    <n v="2011"/>
    <n v="2010"/>
    <n v="6"/>
    <x v="0"/>
    <s v="6B"/>
    <x v="2"/>
    <n v="1"/>
    <n v="7"/>
    <x v="0"/>
    <x v="0"/>
  </r>
  <r>
    <n v="5396"/>
    <n v="100889408"/>
    <s v="Recovery"/>
    <n v="200"/>
    <s v="AHY"/>
    <s v="M"/>
    <n v="9"/>
    <n v="2009"/>
    <n v="2009"/>
    <n v="5"/>
    <x v="0"/>
    <s v="5B"/>
    <x v="8"/>
    <n v="1"/>
    <n v="7"/>
    <x v="0"/>
    <x v="0"/>
  </r>
  <r>
    <n v="5400"/>
    <n v="100889412"/>
    <s v="Recovery"/>
    <n v="200"/>
    <s v="AHY"/>
    <s v="F"/>
    <n v="12"/>
    <n v="2010"/>
    <n v="2010"/>
    <n v="6"/>
    <x v="0"/>
    <s v="6B"/>
    <x v="2"/>
    <n v="1"/>
    <n v="7"/>
    <x v="0"/>
    <x v="0"/>
  </r>
  <r>
    <n v="5401"/>
    <n v="100889413"/>
    <s v="Recovery"/>
    <n v="200"/>
    <s v="AHY"/>
    <s v="M"/>
    <n v="1"/>
    <n v="2010"/>
    <n v="2009"/>
    <n v="5"/>
    <x v="0"/>
    <s v="5B"/>
    <x v="8"/>
    <n v="1"/>
    <n v="7"/>
    <x v="0"/>
    <x v="0"/>
  </r>
  <r>
    <n v="5409"/>
    <n v="100889421"/>
    <s v="Recovery"/>
    <n v="200"/>
    <s v="AHY"/>
    <s v="M"/>
    <n v="1"/>
    <n v="2011"/>
    <n v="2010"/>
    <n v="6"/>
    <x v="0"/>
    <s v="6B"/>
    <x v="2"/>
    <n v="1"/>
    <n v="7"/>
    <x v="0"/>
    <x v="0"/>
  </r>
  <r>
    <n v="5414"/>
    <n v="100889426"/>
    <s v="Recovery"/>
    <n v="200"/>
    <s v="AHY"/>
    <s v="M"/>
    <n v="12"/>
    <n v="2018"/>
    <n v="2018"/>
    <n v="14"/>
    <x v="0"/>
    <s v="14B"/>
    <x v="10"/>
    <n v="1"/>
    <n v="7"/>
    <x v="0"/>
    <x v="0"/>
  </r>
  <r>
    <n v="5416"/>
    <n v="100889428"/>
    <s v="Recovery"/>
    <n v="200"/>
    <s v="AHY"/>
    <s v="F"/>
    <n v="9"/>
    <n v="2012"/>
    <n v="2012"/>
    <n v="8"/>
    <x v="0"/>
    <s v="8B"/>
    <x v="3"/>
    <n v="1"/>
    <n v="7"/>
    <x v="0"/>
    <x v="0"/>
  </r>
  <r>
    <n v="5422"/>
    <n v="100889434"/>
    <s v="Recovery"/>
    <n v="200"/>
    <s v="AHY"/>
    <s v="F"/>
    <n v="12"/>
    <n v="2014"/>
    <n v="2014"/>
    <n v="10"/>
    <x v="0"/>
    <s v="10B"/>
    <x v="7"/>
    <n v="1"/>
    <n v="7"/>
    <x v="0"/>
    <x v="0"/>
  </r>
  <r>
    <n v="5423"/>
    <n v="100889435"/>
    <s v="Recovery"/>
    <n v="200"/>
    <s v="AHY"/>
    <s v="M"/>
    <n v="9"/>
    <n v="2011"/>
    <n v="2011"/>
    <n v="7"/>
    <x v="0"/>
    <s v="7B"/>
    <x v="9"/>
    <n v="1"/>
    <n v="7"/>
    <x v="0"/>
    <x v="0"/>
  </r>
  <r>
    <n v="5426"/>
    <n v="100889438"/>
    <s v="Recovery"/>
    <n v="200"/>
    <s v="AHY"/>
    <s v="M"/>
    <n v="1"/>
    <n v="2010"/>
    <n v="2009"/>
    <n v="5"/>
    <x v="0"/>
    <s v="5B"/>
    <x v="8"/>
    <n v="1"/>
    <n v="7"/>
    <x v="0"/>
    <x v="0"/>
  </r>
  <r>
    <n v="5430"/>
    <n v="100889442"/>
    <s v="Recovery"/>
    <n v="200"/>
    <s v="AHY"/>
    <s v="M"/>
    <n v="11"/>
    <n v="2012"/>
    <n v="2012"/>
    <n v="8"/>
    <x v="0"/>
    <s v="8B"/>
    <x v="3"/>
    <n v="1"/>
    <n v="7"/>
    <x v="0"/>
    <x v="0"/>
  </r>
  <r>
    <n v="5434"/>
    <n v="100889446"/>
    <s v="Recovery"/>
    <n v="200"/>
    <s v="AHY"/>
    <s v="M"/>
    <n v="1"/>
    <n v="2014"/>
    <n v="2013"/>
    <n v="9"/>
    <x v="0"/>
    <s v="9B"/>
    <x v="4"/>
    <n v="1"/>
    <n v="7"/>
    <x v="0"/>
    <x v="0"/>
  </r>
  <r>
    <n v="5438"/>
    <n v="100889450"/>
    <s v="Recovery"/>
    <n v="200"/>
    <s v="AHY"/>
    <s v="F"/>
    <n v="9"/>
    <n v="2010"/>
    <n v="2010"/>
    <n v="6"/>
    <x v="0"/>
    <s v="6B"/>
    <x v="2"/>
    <n v="1"/>
    <n v="7"/>
    <x v="0"/>
    <x v="0"/>
  </r>
  <r>
    <n v="5439"/>
    <n v="100889451"/>
    <s v="Recovery"/>
    <n v="200"/>
    <s v="AHY"/>
    <s v="F"/>
    <n v="9"/>
    <n v="2015"/>
    <n v="2015"/>
    <n v="11"/>
    <x v="0"/>
    <s v="11B"/>
    <x v="14"/>
    <n v="1"/>
    <n v="7"/>
    <x v="0"/>
    <x v="0"/>
  </r>
  <r>
    <n v="5441"/>
    <n v="100889453"/>
    <s v="Recovery"/>
    <n v="200"/>
    <s v="AHY"/>
    <s v="M"/>
    <n v="1"/>
    <n v="2011"/>
    <n v="2010"/>
    <n v="6"/>
    <x v="0"/>
    <s v="6B"/>
    <x v="2"/>
    <n v="1"/>
    <n v="7"/>
    <x v="0"/>
    <x v="0"/>
  </r>
  <r>
    <n v="5442"/>
    <n v="100889454"/>
    <s v="Recovery"/>
    <n v="200"/>
    <s v="AHY"/>
    <s v="M"/>
    <n v="9"/>
    <n v="2010"/>
    <n v="2010"/>
    <n v="6"/>
    <x v="0"/>
    <s v="6B"/>
    <x v="2"/>
    <n v="1"/>
    <n v="7"/>
    <x v="0"/>
    <x v="0"/>
  </r>
  <r>
    <n v="5449"/>
    <n v="100889461"/>
    <s v="Recovery"/>
    <n v="200"/>
    <s v="AHY"/>
    <s v="M"/>
    <n v="1"/>
    <n v="2011"/>
    <n v="2010"/>
    <n v="6"/>
    <x v="0"/>
    <s v="6B"/>
    <x v="2"/>
    <n v="1"/>
    <n v="7"/>
    <x v="0"/>
    <x v="0"/>
  </r>
  <r>
    <n v="5453"/>
    <n v="100889465"/>
    <s v="Recovery"/>
    <n v="200"/>
    <s v="AHY"/>
    <s v="F"/>
    <n v="1"/>
    <n v="2010"/>
    <n v="2009"/>
    <n v="5"/>
    <x v="0"/>
    <s v="5B"/>
    <x v="8"/>
    <n v="1"/>
    <n v="7"/>
    <x v="0"/>
    <x v="0"/>
  </r>
  <r>
    <n v="5462"/>
    <n v="100889474"/>
    <s v="Recovery"/>
    <n v="200"/>
    <s v="AHY"/>
    <s v="M"/>
    <n v="12"/>
    <n v="2011"/>
    <n v="2011"/>
    <n v="7"/>
    <x v="0"/>
    <s v="7B"/>
    <x v="9"/>
    <n v="1"/>
    <n v="7"/>
    <x v="0"/>
    <x v="0"/>
  </r>
  <r>
    <n v="5470"/>
    <n v="100889482"/>
    <s v="Recovery"/>
    <n v="200"/>
    <s v="AHY"/>
    <s v="F"/>
    <n v="12"/>
    <n v="2010"/>
    <n v="2010"/>
    <n v="6"/>
    <x v="0"/>
    <s v="6B"/>
    <x v="2"/>
    <n v="1"/>
    <n v="7"/>
    <x v="0"/>
    <x v="0"/>
  </r>
  <r>
    <n v="5471"/>
    <n v="100889483"/>
    <s v="Recovery"/>
    <n v="200"/>
    <s v="AHY"/>
    <s v="M"/>
    <n v="1"/>
    <n v="2011"/>
    <n v="2010"/>
    <n v="6"/>
    <x v="0"/>
    <s v="6B"/>
    <x v="2"/>
    <n v="1"/>
    <n v="7"/>
    <x v="0"/>
    <x v="0"/>
  </r>
  <r>
    <n v="5477"/>
    <n v="100889489"/>
    <s v="Recovery"/>
    <n v="200"/>
    <s v="AHY"/>
    <s v="F"/>
    <n v="1"/>
    <n v="2011"/>
    <n v="2010"/>
    <n v="6"/>
    <x v="0"/>
    <s v="6B"/>
    <x v="2"/>
    <n v="1"/>
    <n v="7"/>
    <x v="0"/>
    <x v="0"/>
  </r>
  <r>
    <n v="5497"/>
    <n v="104898657"/>
    <s v="Recovery"/>
    <n v="200"/>
    <s v="AHY"/>
    <s v="F"/>
    <n v="11"/>
    <n v="2017"/>
    <n v="2017"/>
    <n v="13"/>
    <x v="0"/>
    <s v="13B"/>
    <x v="13"/>
    <n v="1"/>
    <n v="7"/>
    <x v="0"/>
    <x v="0"/>
  </r>
  <r>
    <n v="5498"/>
    <n v="104898658"/>
    <s v="Recovery"/>
    <n v="200"/>
    <s v="AHY"/>
    <s v="F"/>
    <n v="1"/>
    <n v="2016"/>
    <n v="2015"/>
    <n v="11"/>
    <x v="0"/>
    <s v="11B"/>
    <x v="14"/>
    <n v="1"/>
    <n v="7"/>
    <x v="0"/>
    <x v="0"/>
  </r>
  <r>
    <n v="5505"/>
    <n v="104898665"/>
    <s v="Recovery"/>
    <n v="200"/>
    <s v="AHY"/>
    <s v="M"/>
    <n v="2"/>
    <n v="2014"/>
    <n v="2013"/>
    <n v="9"/>
    <x v="0"/>
    <s v="9B"/>
    <x v="4"/>
    <n v="1"/>
    <n v="7"/>
    <x v="0"/>
    <x v="0"/>
  </r>
  <r>
    <n v="5507"/>
    <n v="104898667"/>
    <s v="Recovery"/>
    <n v="200"/>
    <s v="AHY"/>
    <s v="M"/>
    <n v="11"/>
    <n v="2013"/>
    <n v="2013"/>
    <n v="9"/>
    <x v="0"/>
    <s v="9B"/>
    <x v="4"/>
    <n v="1"/>
    <n v="7"/>
    <x v="0"/>
    <x v="0"/>
  </r>
  <r>
    <n v="5508"/>
    <n v="104898668"/>
    <s v="Recovery"/>
    <n v="200"/>
    <s v="AHY"/>
    <s v="F"/>
    <n v="9"/>
    <n v="2010"/>
    <n v="2010"/>
    <n v="6"/>
    <x v="0"/>
    <s v="6B"/>
    <x v="2"/>
    <n v="1"/>
    <n v="7"/>
    <x v="0"/>
    <x v="0"/>
  </r>
  <r>
    <n v="5512"/>
    <n v="104898672"/>
    <s v="Recovery"/>
    <n v="200"/>
    <s v="AHY"/>
    <s v="M"/>
    <n v="9"/>
    <n v="2017"/>
    <n v="2017"/>
    <n v="13"/>
    <x v="0"/>
    <s v="13B"/>
    <x v="13"/>
    <n v="1"/>
    <n v="7"/>
    <x v="0"/>
    <x v="0"/>
  </r>
  <r>
    <n v="5519"/>
    <n v="104898679"/>
    <s v="Recovery"/>
    <n v="200"/>
    <s v="AHY"/>
    <s v="M"/>
    <n v="2"/>
    <n v="2012"/>
    <n v="2011"/>
    <n v="7"/>
    <x v="0"/>
    <s v="7B"/>
    <x v="9"/>
    <n v="1"/>
    <n v="7"/>
    <x v="0"/>
    <x v="0"/>
  </r>
  <r>
    <n v="5520"/>
    <n v="104898680"/>
    <s v="Recovery"/>
    <n v="200"/>
    <s v="AHY"/>
    <s v="M"/>
    <n v="11"/>
    <n v="2014"/>
    <n v="2014"/>
    <n v="10"/>
    <x v="0"/>
    <s v="10B"/>
    <x v="7"/>
    <n v="1"/>
    <n v="7"/>
    <x v="0"/>
    <x v="0"/>
  </r>
  <r>
    <n v="5532"/>
    <n v="104898692"/>
    <s v="Recovery"/>
    <n v="200"/>
    <s v="AHY"/>
    <s v="M"/>
    <n v="1"/>
    <n v="2010"/>
    <n v="2009"/>
    <n v="5"/>
    <x v="0"/>
    <s v="5B"/>
    <x v="8"/>
    <n v="1"/>
    <n v="7"/>
    <x v="0"/>
    <x v="0"/>
  </r>
  <r>
    <n v="5533"/>
    <n v="104898693"/>
    <s v="Recovery"/>
    <n v="200"/>
    <s v="AHY"/>
    <s v="F"/>
    <n v="9"/>
    <n v="2015"/>
    <n v="2015"/>
    <n v="11"/>
    <x v="0"/>
    <s v="11B"/>
    <x v="14"/>
    <n v="1"/>
    <n v="7"/>
    <x v="0"/>
    <x v="0"/>
  </r>
  <r>
    <n v="5535"/>
    <n v="104898695"/>
    <s v="Recovery"/>
    <n v="200"/>
    <s v="AHY"/>
    <s v="F"/>
    <n v="1"/>
    <n v="2010"/>
    <n v="2009"/>
    <n v="5"/>
    <x v="0"/>
    <s v="5B"/>
    <x v="8"/>
    <n v="1"/>
    <n v="7"/>
    <x v="0"/>
    <x v="0"/>
  </r>
  <r>
    <n v="5541"/>
    <n v="104898701"/>
    <s v="Recovery"/>
    <n v="200"/>
    <s v="AHY"/>
    <s v="F"/>
    <n v="9"/>
    <n v="2012"/>
    <n v="2012"/>
    <n v="8"/>
    <x v="0"/>
    <s v="8B"/>
    <x v="3"/>
    <n v="1"/>
    <n v="7"/>
    <x v="0"/>
    <x v="0"/>
  </r>
  <r>
    <n v="5543"/>
    <n v="104898703"/>
    <s v="Recovery"/>
    <n v="200"/>
    <s v="AHY"/>
    <s v="F"/>
    <n v="9"/>
    <n v="2017"/>
    <n v="2017"/>
    <n v="13"/>
    <x v="0"/>
    <s v="13B"/>
    <x v="13"/>
    <n v="1"/>
    <n v="7"/>
    <x v="0"/>
    <x v="0"/>
  </r>
  <r>
    <n v="5557"/>
    <n v="104898717"/>
    <s v="Recovery"/>
    <n v="200"/>
    <s v="AHY"/>
    <s v="F"/>
    <n v="1"/>
    <n v="2010"/>
    <n v="2009"/>
    <n v="5"/>
    <x v="0"/>
    <s v="5B"/>
    <x v="8"/>
    <n v="1"/>
    <n v="7"/>
    <x v="0"/>
    <x v="0"/>
  </r>
  <r>
    <n v="5566"/>
    <n v="104898726"/>
    <s v="Recovery"/>
    <n v="200"/>
    <s v="AHY"/>
    <s v="F"/>
    <n v="9"/>
    <n v="2015"/>
    <n v="2015"/>
    <n v="11"/>
    <x v="0"/>
    <s v="11B"/>
    <x v="14"/>
    <n v="1"/>
    <n v="7"/>
    <x v="0"/>
    <x v="0"/>
  </r>
  <r>
    <n v="5572"/>
    <n v="104898732"/>
    <s v="Recovery"/>
    <n v="200"/>
    <s v="AHY"/>
    <s v="M"/>
    <n v="12"/>
    <n v="2010"/>
    <n v="2010"/>
    <n v="6"/>
    <x v="0"/>
    <s v="6B"/>
    <x v="2"/>
    <n v="1"/>
    <n v="7"/>
    <x v="0"/>
    <x v="0"/>
  </r>
  <r>
    <n v="5573"/>
    <n v="104898733"/>
    <s v="Recovery"/>
    <n v="200"/>
    <s v="AHY"/>
    <s v="F"/>
    <n v="1"/>
    <n v="2016"/>
    <n v="2015"/>
    <n v="11"/>
    <x v="0"/>
    <s v="11B"/>
    <x v="14"/>
    <n v="1"/>
    <n v="7"/>
    <x v="0"/>
    <x v="0"/>
  </r>
  <r>
    <n v="5579"/>
    <n v="104898739"/>
    <s v="Recovery"/>
    <n v="200"/>
    <s v="AHY"/>
    <s v="M"/>
    <n v="9"/>
    <n v="2015"/>
    <n v="2015"/>
    <n v="11"/>
    <x v="0"/>
    <s v="11B"/>
    <x v="14"/>
    <n v="1"/>
    <n v="7"/>
    <x v="0"/>
    <x v="0"/>
  </r>
  <r>
    <n v="5581"/>
    <n v="104898741"/>
    <s v="Recovery"/>
    <n v="200"/>
    <s v="AHY"/>
    <s v="F"/>
    <n v="9"/>
    <n v="2015"/>
    <n v="2015"/>
    <n v="11"/>
    <x v="0"/>
    <s v="11B"/>
    <x v="14"/>
    <n v="1"/>
    <n v="7"/>
    <x v="0"/>
    <x v="0"/>
  </r>
  <r>
    <n v="5584"/>
    <n v="104898744"/>
    <s v="Recovery"/>
    <n v="200"/>
    <s v="AHY"/>
    <s v="M"/>
    <n v="9"/>
    <n v="2012"/>
    <n v="2012"/>
    <n v="8"/>
    <x v="0"/>
    <s v="8B"/>
    <x v="3"/>
    <n v="1"/>
    <n v="7"/>
    <x v="0"/>
    <x v="0"/>
  </r>
  <r>
    <n v="5588"/>
    <n v="104898748"/>
    <s v="Recovery"/>
    <n v="200"/>
    <s v="AHY"/>
    <s v="M"/>
    <n v="12"/>
    <n v="2010"/>
    <n v="2010"/>
    <n v="6"/>
    <x v="0"/>
    <s v="6B"/>
    <x v="2"/>
    <n v="1"/>
    <n v="7"/>
    <x v="0"/>
    <x v="0"/>
  </r>
  <r>
    <n v="5595"/>
    <n v="104898755"/>
    <s v="Recovery"/>
    <n v="200"/>
    <s v="AHY"/>
    <s v="F"/>
    <n v="9"/>
    <n v="2011"/>
    <n v="2011"/>
    <n v="7"/>
    <x v="0"/>
    <s v="7B"/>
    <x v="9"/>
    <n v="1"/>
    <n v="7"/>
    <x v="0"/>
    <x v="0"/>
  </r>
  <r>
    <n v="5597"/>
    <n v="104898757"/>
    <s v="Recovery"/>
    <n v="200"/>
    <s v="AHY"/>
    <s v="M"/>
    <n v="9"/>
    <n v="2011"/>
    <n v="2011"/>
    <n v="7"/>
    <x v="0"/>
    <s v="7B"/>
    <x v="9"/>
    <n v="1"/>
    <n v="45"/>
    <x v="1"/>
    <x v="1"/>
  </r>
  <r>
    <n v="5598"/>
    <n v="104898758"/>
    <s v="Recovery"/>
    <n v="200"/>
    <s v="AHY"/>
    <s v="M"/>
    <n v="12"/>
    <n v="2018"/>
    <n v="2018"/>
    <n v="14"/>
    <x v="0"/>
    <s v="14B"/>
    <x v="10"/>
    <n v="1"/>
    <n v="7"/>
    <x v="0"/>
    <x v="0"/>
  </r>
  <r>
    <n v="5626"/>
    <n v="104898786"/>
    <s v="Recovery"/>
    <n v="200"/>
    <s v="AHY"/>
    <s v="F"/>
    <n v="1"/>
    <n v="2013"/>
    <n v="2012"/>
    <n v="8"/>
    <x v="0"/>
    <s v="8B"/>
    <x v="3"/>
    <n v="1"/>
    <n v="7"/>
    <x v="0"/>
    <x v="0"/>
  </r>
  <r>
    <n v="5652"/>
    <n v="104898812"/>
    <s v="Recovery"/>
    <n v="200"/>
    <s v="AHY"/>
    <s v="M"/>
    <n v="9"/>
    <n v="2009"/>
    <n v="2009"/>
    <n v="5"/>
    <x v="0"/>
    <s v="5B"/>
    <x v="8"/>
    <n v="1"/>
    <n v="7"/>
    <x v="0"/>
    <x v="0"/>
  </r>
  <r>
    <n v="5655"/>
    <n v="104898815"/>
    <s v="Recovery"/>
    <n v="200"/>
    <s v="AHY"/>
    <s v="M"/>
    <n v="11"/>
    <n v="2016"/>
    <n v="2016"/>
    <n v="12"/>
    <x v="0"/>
    <s v="12B"/>
    <x v="12"/>
    <n v="1"/>
    <n v="7"/>
    <x v="0"/>
    <x v="0"/>
  </r>
  <r>
    <n v="5657"/>
    <n v="104898817"/>
    <s v="Recovery"/>
    <n v="200"/>
    <s v="AHY"/>
    <s v="M"/>
    <n v="11"/>
    <n v="2015"/>
    <n v="2015"/>
    <n v="11"/>
    <x v="0"/>
    <s v="11B"/>
    <x v="14"/>
    <n v="1"/>
    <n v="7"/>
    <x v="0"/>
    <x v="0"/>
  </r>
  <r>
    <n v="5661"/>
    <n v="104898821"/>
    <s v="Recovery"/>
    <n v="200"/>
    <s v="AHY"/>
    <s v="M"/>
    <n v="11"/>
    <n v="2010"/>
    <n v="2010"/>
    <n v="6"/>
    <x v="0"/>
    <s v="6B"/>
    <x v="2"/>
    <n v="1"/>
    <n v="34"/>
    <x v="9"/>
    <x v="1"/>
  </r>
  <r>
    <n v="5665"/>
    <n v="104898825"/>
    <s v="Recovery"/>
    <n v="200"/>
    <s v="AHY"/>
    <s v="M"/>
    <n v="1"/>
    <n v="2012"/>
    <n v="2011"/>
    <n v="7"/>
    <x v="0"/>
    <s v="7B"/>
    <x v="9"/>
    <n v="1"/>
    <n v="7"/>
    <x v="0"/>
    <x v="0"/>
  </r>
  <r>
    <n v="5674"/>
    <n v="104898834"/>
    <s v="Recovery"/>
    <n v="200"/>
    <s v="AHY"/>
    <s v="M"/>
    <n v="9"/>
    <n v="2013"/>
    <n v="2013"/>
    <n v="9"/>
    <x v="0"/>
    <s v="9B"/>
    <x v="4"/>
    <n v="1"/>
    <n v="7"/>
    <x v="0"/>
    <x v="0"/>
  </r>
  <r>
    <n v="5678"/>
    <n v="104898838"/>
    <s v="Recovery"/>
    <n v="200"/>
    <s v="AHY"/>
    <s v="F"/>
    <n v="12"/>
    <n v="2009"/>
    <n v="2009"/>
    <n v="5"/>
    <x v="0"/>
    <s v="5B"/>
    <x v="8"/>
    <n v="1"/>
    <n v="7"/>
    <x v="0"/>
    <x v="0"/>
  </r>
  <r>
    <n v="5688"/>
    <n v="104898848"/>
    <s v="Recovery"/>
    <n v="200"/>
    <s v="AHY"/>
    <s v="F"/>
    <n v="9"/>
    <n v="2009"/>
    <n v="2009"/>
    <n v="5"/>
    <x v="0"/>
    <s v="5B"/>
    <x v="8"/>
    <n v="1"/>
    <n v="7"/>
    <x v="0"/>
    <x v="0"/>
  </r>
  <r>
    <n v="5697"/>
    <n v="104898857"/>
    <s v="Recovery"/>
    <n v="200"/>
    <s v="AHY"/>
    <s v="F"/>
    <n v="1"/>
    <n v="2010"/>
    <n v="2009"/>
    <n v="5"/>
    <x v="0"/>
    <s v="5B"/>
    <x v="8"/>
    <n v="1"/>
    <n v="7"/>
    <x v="0"/>
    <x v="0"/>
  </r>
  <r>
    <n v="5701"/>
    <n v="104898861"/>
    <s v="Recovery"/>
    <n v="200"/>
    <s v="AHY"/>
    <s v="M"/>
    <n v="1"/>
    <n v="2013"/>
    <n v="2012"/>
    <n v="8"/>
    <x v="0"/>
    <s v="8B"/>
    <x v="3"/>
    <n v="1"/>
    <n v="67"/>
    <x v="2"/>
    <x v="1"/>
  </r>
  <r>
    <n v="5703"/>
    <n v="104898863"/>
    <s v="Recovery"/>
    <n v="200"/>
    <s v="AHY"/>
    <s v="F"/>
    <n v="1"/>
    <n v="2012"/>
    <n v="2011"/>
    <n v="7"/>
    <x v="0"/>
    <s v="7B"/>
    <x v="9"/>
    <n v="1"/>
    <n v="7"/>
    <x v="0"/>
    <x v="0"/>
  </r>
  <r>
    <n v="5704"/>
    <n v="104898864"/>
    <s v="Recovery"/>
    <n v="200"/>
    <s v="AHY"/>
    <s v="F"/>
    <n v="11"/>
    <n v="2013"/>
    <n v="2013"/>
    <n v="9"/>
    <x v="0"/>
    <s v="9B"/>
    <x v="4"/>
    <n v="1"/>
    <n v="7"/>
    <x v="0"/>
    <x v="0"/>
  </r>
  <r>
    <n v="5710"/>
    <n v="104898870"/>
    <s v="Recovery"/>
    <n v="200"/>
    <s v="AHY"/>
    <s v="M"/>
    <n v="12"/>
    <n v="2009"/>
    <n v="2009"/>
    <n v="5"/>
    <x v="0"/>
    <s v="5B"/>
    <x v="8"/>
    <n v="1"/>
    <n v="7"/>
    <x v="0"/>
    <x v="0"/>
  </r>
  <r>
    <n v="5716"/>
    <n v="104898876"/>
    <s v="Recovery"/>
    <n v="200"/>
    <s v="AHY"/>
    <s v="F"/>
    <n v="12"/>
    <n v="2009"/>
    <n v="2009"/>
    <n v="5"/>
    <x v="0"/>
    <s v="5B"/>
    <x v="8"/>
    <n v="1"/>
    <n v="7"/>
    <x v="0"/>
    <x v="0"/>
  </r>
  <r>
    <n v="5720"/>
    <n v="104898880"/>
    <s v="Recovery"/>
    <n v="200"/>
    <s v="AHY"/>
    <s v="M"/>
    <n v="1"/>
    <n v="2013"/>
    <n v="2012"/>
    <n v="8"/>
    <x v="0"/>
    <s v="8B"/>
    <x v="3"/>
    <n v="1"/>
    <n v="7"/>
    <x v="0"/>
    <x v="0"/>
  </r>
  <r>
    <n v="5721"/>
    <n v="104898881"/>
    <s v="Recovery"/>
    <n v="200"/>
    <s v="AHY"/>
    <s v="M"/>
    <n v="1"/>
    <n v="2012"/>
    <n v="2011"/>
    <n v="7"/>
    <x v="0"/>
    <s v="7B"/>
    <x v="9"/>
    <n v="1"/>
    <n v="7"/>
    <x v="0"/>
    <x v="0"/>
  </r>
  <r>
    <n v="5764"/>
    <n v="104898924"/>
    <s v="Recovery"/>
    <n v="200"/>
    <s v="AHY"/>
    <s v="F"/>
    <n v="11"/>
    <n v="2011"/>
    <n v="2011"/>
    <n v="7"/>
    <x v="0"/>
    <s v="7B"/>
    <x v="9"/>
    <n v="1"/>
    <n v="7"/>
    <x v="0"/>
    <x v="0"/>
  </r>
  <r>
    <n v="5781"/>
    <n v="104898941"/>
    <s v="Recovery"/>
    <n v="200"/>
    <s v="AHY"/>
    <s v="F"/>
    <n v="1"/>
    <n v="2012"/>
    <n v="2011"/>
    <n v="7"/>
    <x v="0"/>
    <s v="7B"/>
    <x v="9"/>
    <n v="1"/>
    <n v="52"/>
    <x v="11"/>
    <x v="1"/>
  </r>
  <r>
    <n v="5798"/>
    <n v="104898958"/>
    <s v="Recovery"/>
    <n v="200"/>
    <s v="AHY"/>
    <s v="F"/>
    <n v="12"/>
    <n v="2012"/>
    <n v="2012"/>
    <n v="8"/>
    <x v="0"/>
    <s v="8B"/>
    <x v="3"/>
    <n v="1"/>
    <n v="52"/>
    <x v="11"/>
    <x v="1"/>
  </r>
  <r>
    <n v="5801"/>
    <n v="104898961"/>
    <s v="Recovery"/>
    <n v="200"/>
    <s v="AHY"/>
    <s v="F"/>
    <n v="1"/>
    <n v="2012"/>
    <n v="2011"/>
    <n v="7"/>
    <x v="0"/>
    <s v="7B"/>
    <x v="9"/>
    <n v="1"/>
    <n v="52"/>
    <x v="11"/>
    <x v="1"/>
  </r>
  <r>
    <n v="5827"/>
    <n v="104898987"/>
    <s v="Recovery"/>
    <n v="200"/>
    <s v="AHY"/>
    <s v="M"/>
    <n v="9"/>
    <n v="2009"/>
    <n v="2009"/>
    <n v="5"/>
    <x v="0"/>
    <s v="5B"/>
    <x v="8"/>
    <n v="1"/>
    <n v="67"/>
    <x v="2"/>
    <x v="1"/>
  </r>
  <r>
    <n v="5829"/>
    <n v="104898989"/>
    <s v="Recovery"/>
    <n v="200"/>
    <s v="AHY"/>
    <s v="F"/>
    <n v="9"/>
    <n v="2011"/>
    <n v="2011"/>
    <n v="7"/>
    <x v="0"/>
    <s v="7B"/>
    <x v="9"/>
    <n v="1"/>
    <n v="67"/>
    <x v="2"/>
    <x v="1"/>
  </r>
  <r>
    <n v="5830"/>
    <n v="104898990"/>
    <s v="Recovery"/>
    <n v="200"/>
    <s v="AHY"/>
    <s v="F"/>
    <n v="11"/>
    <n v="2012"/>
    <n v="2012"/>
    <n v="8"/>
    <x v="0"/>
    <s v="8B"/>
    <x v="3"/>
    <n v="1"/>
    <n v="7"/>
    <x v="0"/>
    <x v="0"/>
  </r>
  <r>
    <n v="5831"/>
    <n v="104898991"/>
    <s v="Recovery"/>
    <n v="200"/>
    <s v="AHY"/>
    <s v="M"/>
    <n v="9"/>
    <n v="2011"/>
    <n v="2011"/>
    <n v="7"/>
    <x v="0"/>
    <s v="7B"/>
    <x v="9"/>
    <n v="1"/>
    <n v="67"/>
    <x v="2"/>
    <x v="1"/>
  </r>
  <r>
    <n v="5832"/>
    <n v="104898992"/>
    <s v="Recovery"/>
    <n v="200"/>
    <s v="AHY"/>
    <s v="F"/>
    <n v="10"/>
    <n v="2010"/>
    <n v="2010"/>
    <n v="6"/>
    <x v="0"/>
    <s v="6B"/>
    <x v="2"/>
    <n v="1"/>
    <n v="52"/>
    <x v="11"/>
    <x v="1"/>
  </r>
  <r>
    <n v="5835"/>
    <n v="104898995"/>
    <s v="Recovery"/>
    <n v="200"/>
    <s v="AHY"/>
    <s v="F"/>
    <n v="11"/>
    <n v="2013"/>
    <n v="2013"/>
    <n v="9"/>
    <x v="0"/>
    <s v="9B"/>
    <x v="4"/>
    <n v="1"/>
    <n v="7"/>
    <x v="0"/>
    <x v="0"/>
  </r>
  <r>
    <n v="5838"/>
    <n v="104898998"/>
    <s v="Recovery"/>
    <n v="200"/>
    <s v="AHY"/>
    <s v="M"/>
    <n v="10"/>
    <n v="2010"/>
    <n v="2010"/>
    <n v="6"/>
    <x v="0"/>
    <s v="6B"/>
    <x v="2"/>
    <n v="1"/>
    <n v="52"/>
    <x v="11"/>
    <x v="1"/>
  </r>
  <r>
    <n v="5842"/>
    <n v="95856725"/>
    <s v="Recovery"/>
    <n v="200"/>
    <s v="AHY"/>
    <s v="M"/>
    <n v="1"/>
    <n v="2011"/>
    <n v="2010"/>
    <n v="6"/>
    <x v="0"/>
    <s v="6B"/>
    <x v="2"/>
    <n v="1"/>
    <n v="7"/>
    <x v="0"/>
    <x v="0"/>
  </r>
  <r>
    <n v="5848"/>
    <n v="95856731"/>
    <s v="Recovery"/>
    <n v="200"/>
    <s v="AHY"/>
    <s v="M"/>
    <n v="9"/>
    <n v="2016"/>
    <n v="2016"/>
    <n v="12"/>
    <x v="0"/>
    <s v="12B"/>
    <x v="12"/>
    <n v="1"/>
    <n v="7"/>
    <x v="0"/>
    <x v="0"/>
  </r>
  <r>
    <n v="5852"/>
    <n v="95856735"/>
    <s v="Recovery"/>
    <n v="200"/>
    <s v="AHY"/>
    <s v="M"/>
    <n v="1"/>
    <n v="2013"/>
    <n v="2012"/>
    <n v="8"/>
    <x v="0"/>
    <s v="8B"/>
    <x v="3"/>
    <n v="1"/>
    <n v="7"/>
    <x v="0"/>
    <x v="0"/>
  </r>
  <r>
    <n v="5858"/>
    <n v="95856741"/>
    <s v="Recovery"/>
    <n v="200"/>
    <s v="AHY"/>
    <s v="M"/>
    <n v="9"/>
    <n v="2011"/>
    <n v="2011"/>
    <n v="7"/>
    <x v="0"/>
    <s v="7B"/>
    <x v="9"/>
    <n v="1"/>
    <n v="7"/>
    <x v="0"/>
    <x v="0"/>
  </r>
  <r>
    <n v="5859"/>
    <n v="95856742"/>
    <s v="Recovery"/>
    <n v="200"/>
    <s v="AHY"/>
    <s v="F"/>
    <n v="11"/>
    <n v="2014"/>
    <n v="2014"/>
    <n v="10"/>
    <x v="0"/>
    <s v="10B"/>
    <x v="7"/>
    <n v="1"/>
    <n v="7"/>
    <x v="0"/>
    <x v="0"/>
  </r>
  <r>
    <n v="5861"/>
    <n v="95856744"/>
    <s v="Recovery"/>
    <n v="200"/>
    <s v="AHY"/>
    <s v="M"/>
    <n v="1"/>
    <n v="2013"/>
    <n v="2012"/>
    <n v="8"/>
    <x v="0"/>
    <s v="8B"/>
    <x v="3"/>
    <n v="1"/>
    <n v="7"/>
    <x v="0"/>
    <x v="0"/>
  </r>
  <r>
    <n v="5864"/>
    <n v="103887301"/>
    <s v="Recovery"/>
    <n v="200"/>
    <s v="AHY"/>
    <s v="M"/>
    <n v="11"/>
    <n v="2011"/>
    <n v="2011"/>
    <n v="7"/>
    <x v="0"/>
    <s v="7B"/>
    <x v="9"/>
    <n v="1"/>
    <n v="7"/>
    <x v="0"/>
    <x v="0"/>
  </r>
  <r>
    <n v="5865"/>
    <n v="103887302"/>
    <s v="Recovery"/>
    <n v="200"/>
    <s v="AHY"/>
    <s v="M"/>
    <n v="12"/>
    <n v="2012"/>
    <n v="2012"/>
    <n v="8"/>
    <x v="0"/>
    <s v="8B"/>
    <x v="3"/>
    <n v="1"/>
    <n v="7"/>
    <x v="0"/>
    <x v="0"/>
  </r>
  <r>
    <n v="5871"/>
    <n v="103887308"/>
    <s v="Recovery"/>
    <n v="200"/>
    <s v="AHY"/>
    <s v="F"/>
    <n v="9"/>
    <n v="2012"/>
    <n v="2012"/>
    <n v="8"/>
    <x v="0"/>
    <s v="8B"/>
    <x v="3"/>
    <n v="1"/>
    <n v="7"/>
    <x v="0"/>
    <x v="0"/>
  </r>
  <r>
    <n v="5874"/>
    <n v="103887311"/>
    <s v="Recovery"/>
    <n v="200"/>
    <s v="AHY"/>
    <s v="F"/>
    <n v="12"/>
    <n v="2012"/>
    <n v="2012"/>
    <n v="8"/>
    <x v="0"/>
    <s v="8B"/>
    <x v="3"/>
    <n v="1"/>
    <n v="7"/>
    <x v="0"/>
    <x v="0"/>
  </r>
  <r>
    <n v="5875"/>
    <n v="103887312"/>
    <s v="Recovery"/>
    <n v="200"/>
    <s v="AHY"/>
    <s v="M"/>
    <n v="1"/>
    <n v="2012"/>
    <n v="2011"/>
    <n v="7"/>
    <x v="0"/>
    <s v="7B"/>
    <x v="9"/>
    <n v="1"/>
    <n v="7"/>
    <x v="0"/>
    <x v="0"/>
  </r>
  <r>
    <n v="5880"/>
    <n v="103887317"/>
    <s v="Recovery"/>
    <n v="200"/>
    <s v="AHY"/>
    <s v="F"/>
    <n v="1"/>
    <n v="2014"/>
    <n v="2013"/>
    <n v="9"/>
    <x v="0"/>
    <s v="9B"/>
    <x v="4"/>
    <n v="1"/>
    <n v="7"/>
    <x v="0"/>
    <x v="0"/>
  </r>
  <r>
    <n v="5882"/>
    <n v="103887319"/>
    <s v="Recovery"/>
    <n v="200"/>
    <s v="AHY"/>
    <s v="M"/>
    <n v="1"/>
    <n v="2015"/>
    <n v="2014"/>
    <n v="10"/>
    <x v="0"/>
    <s v="10B"/>
    <x v="7"/>
    <n v="1"/>
    <n v="7"/>
    <x v="0"/>
    <x v="0"/>
  </r>
  <r>
    <n v="5884"/>
    <n v="103887321"/>
    <s v="Recovery"/>
    <n v="200"/>
    <s v="AHY"/>
    <s v="F"/>
    <n v="11"/>
    <n v="2013"/>
    <n v="2013"/>
    <n v="9"/>
    <x v="0"/>
    <s v="9B"/>
    <x v="4"/>
    <n v="1"/>
    <n v="7"/>
    <x v="0"/>
    <x v="0"/>
  </r>
  <r>
    <n v="5887"/>
    <n v="103887324"/>
    <s v="Recovery"/>
    <n v="200"/>
    <s v="AHY"/>
    <s v="M"/>
    <n v="12"/>
    <n v="2012"/>
    <n v="2012"/>
    <n v="8"/>
    <x v="0"/>
    <s v="8B"/>
    <x v="3"/>
    <n v="1"/>
    <n v="7"/>
    <x v="0"/>
    <x v="0"/>
  </r>
  <r>
    <n v="5890"/>
    <n v="103887327"/>
    <s v="Recovery"/>
    <n v="200"/>
    <s v="AHY"/>
    <s v="F"/>
    <n v="9"/>
    <n v="2015"/>
    <n v="2015"/>
    <n v="11"/>
    <x v="0"/>
    <s v="11B"/>
    <x v="14"/>
    <n v="1"/>
    <n v="7"/>
    <x v="0"/>
    <x v="0"/>
  </r>
  <r>
    <n v="5891"/>
    <n v="103887328"/>
    <s v="Recovery"/>
    <n v="200"/>
    <s v="AHY"/>
    <s v="F"/>
    <n v="12"/>
    <n v="2012"/>
    <n v="2012"/>
    <n v="8"/>
    <x v="0"/>
    <s v="8B"/>
    <x v="3"/>
    <n v="1"/>
    <n v="7"/>
    <x v="0"/>
    <x v="0"/>
  </r>
  <r>
    <n v="5893"/>
    <n v="103887330"/>
    <s v="Recovery"/>
    <n v="200"/>
    <s v="AHY"/>
    <s v="F"/>
    <n v="9"/>
    <n v="2013"/>
    <n v="2013"/>
    <n v="9"/>
    <x v="0"/>
    <s v="9B"/>
    <x v="4"/>
    <n v="1"/>
    <n v="7"/>
    <x v="0"/>
    <x v="0"/>
  </r>
  <r>
    <n v="5894"/>
    <n v="103887331"/>
    <s v="Recovery"/>
    <n v="200"/>
    <s v="AHY"/>
    <s v="F"/>
    <n v="12"/>
    <n v="2012"/>
    <n v="2012"/>
    <n v="8"/>
    <x v="0"/>
    <s v="8B"/>
    <x v="3"/>
    <n v="1"/>
    <n v="7"/>
    <x v="0"/>
    <x v="0"/>
  </r>
  <r>
    <n v="5895"/>
    <n v="103887332"/>
    <s v="Recovery"/>
    <n v="200"/>
    <s v="AHY"/>
    <s v="M"/>
    <n v="12"/>
    <n v="2010"/>
    <n v="2010"/>
    <n v="6"/>
    <x v="0"/>
    <s v="6B"/>
    <x v="2"/>
    <n v="1"/>
    <n v="7"/>
    <x v="0"/>
    <x v="0"/>
  </r>
  <r>
    <n v="5901"/>
    <n v="103887338"/>
    <s v="Recovery"/>
    <n v="200"/>
    <s v="AHY"/>
    <s v="M"/>
    <n v="1"/>
    <n v="2012"/>
    <n v="2011"/>
    <n v="7"/>
    <x v="0"/>
    <s v="7B"/>
    <x v="9"/>
    <n v="1"/>
    <n v="7"/>
    <x v="0"/>
    <x v="0"/>
  </r>
  <r>
    <n v="5902"/>
    <n v="103887339"/>
    <s v="Recovery"/>
    <n v="200"/>
    <s v="AHY"/>
    <s v="F"/>
    <n v="12"/>
    <n v="2013"/>
    <n v="2013"/>
    <n v="9"/>
    <x v="0"/>
    <s v="9B"/>
    <x v="4"/>
    <n v="1"/>
    <n v="7"/>
    <x v="0"/>
    <x v="0"/>
  </r>
  <r>
    <n v="5903"/>
    <n v="103887340"/>
    <s v="Recovery"/>
    <n v="200"/>
    <s v="AHY"/>
    <s v="M"/>
    <n v="9"/>
    <n v="2012"/>
    <n v="2012"/>
    <n v="8"/>
    <x v="0"/>
    <s v="8B"/>
    <x v="3"/>
    <n v="1"/>
    <n v="7"/>
    <x v="0"/>
    <x v="0"/>
  </r>
  <r>
    <n v="5904"/>
    <n v="103887341"/>
    <s v="Recovery"/>
    <n v="200"/>
    <s v="AHY"/>
    <s v="M"/>
    <n v="9"/>
    <n v="2012"/>
    <n v="2012"/>
    <n v="8"/>
    <x v="0"/>
    <s v="8B"/>
    <x v="3"/>
    <n v="1"/>
    <n v="7"/>
    <x v="0"/>
    <x v="0"/>
  </r>
  <r>
    <n v="5907"/>
    <n v="103887344"/>
    <s v="Recovery"/>
    <n v="200"/>
    <s v="AHY"/>
    <s v="F"/>
    <n v="1"/>
    <n v="2017"/>
    <n v="2016"/>
    <n v="12"/>
    <x v="0"/>
    <s v="12B"/>
    <x v="12"/>
    <n v="1"/>
    <n v="7"/>
    <x v="0"/>
    <x v="0"/>
  </r>
  <r>
    <n v="5922"/>
    <n v="103887359"/>
    <s v="Recovery"/>
    <n v="200"/>
    <s v="HY"/>
    <s v="F"/>
    <n v="1"/>
    <n v="2011"/>
    <n v="2010"/>
    <n v="6"/>
    <x v="0"/>
    <s v="6B"/>
    <x v="2"/>
    <n v="1"/>
    <n v="7"/>
    <x v="0"/>
    <x v="0"/>
  </r>
  <r>
    <n v="5926"/>
    <n v="103887363"/>
    <s v="Recovery"/>
    <n v="200"/>
    <s v="HY"/>
    <s v="F"/>
    <n v="9"/>
    <n v="2010"/>
    <n v="2010"/>
    <n v="6"/>
    <x v="0"/>
    <s v="6B"/>
    <x v="2"/>
    <n v="1"/>
    <n v="7"/>
    <x v="0"/>
    <x v="0"/>
  </r>
  <r>
    <n v="5934"/>
    <n v="103887371"/>
    <s v="Recovery"/>
    <n v="200"/>
    <s v="AHY"/>
    <s v="U"/>
    <n v="12"/>
    <n v="2012"/>
    <n v="2012"/>
    <n v="8"/>
    <x v="0"/>
    <s v="8B"/>
    <x v="3"/>
    <n v="1"/>
    <n v="7"/>
    <x v="0"/>
    <x v="0"/>
  </r>
  <r>
    <n v="5936"/>
    <n v="103887373"/>
    <s v="Recovery"/>
    <n v="200"/>
    <s v="AHY"/>
    <s v="F"/>
    <n v="12"/>
    <n v="2011"/>
    <n v="2011"/>
    <n v="7"/>
    <x v="0"/>
    <s v="7B"/>
    <x v="9"/>
    <n v="1"/>
    <n v="7"/>
    <x v="0"/>
    <x v="0"/>
  </r>
  <r>
    <n v="5939"/>
    <n v="103887376"/>
    <s v="Recovery"/>
    <n v="200"/>
    <s v="AHY"/>
    <s v="M"/>
    <n v="9"/>
    <n v="2011"/>
    <n v="2011"/>
    <n v="7"/>
    <x v="0"/>
    <s v="7B"/>
    <x v="9"/>
    <n v="1"/>
    <n v="7"/>
    <x v="0"/>
    <x v="0"/>
  </r>
  <r>
    <n v="5945"/>
    <n v="103887382"/>
    <s v="Recovery"/>
    <n v="200"/>
    <s v="AHY"/>
    <s v="F"/>
    <n v="12"/>
    <n v="2016"/>
    <n v="2016"/>
    <n v="12"/>
    <x v="0"/>
    <s v="12B"/>
    <x v="12"/>
    <n v="1"/>
    <n v="7"/>
    <x v="0"/>
    <x v="0"/>
  </r>
  <r>
    <n v="5946"/>
    <n v="103887383"/>
    <s v="Recovery"/>
    <n v="200"/>
    <s v="AHY"/>
    <s v="F"/>
    <n v="12"/>
    <n v="2015"/>
    <n v="2015"/>
    <n v="11"/>
    <x v="0"/>
    <s v="11B"/>
    <x v="14"/>
    <n v="1"/>
    <n v="7"/>
    <x v="0"/>
    <x v="0"/>
  </r>
  <r>
    <n v="5948"/>
    <n v="103887385"/>
    <s v="Recovery"/>
    <n v="200"/>
    <s v="AHY"/>
    <s v="F"/>
    <n v="11"/>
    <n v="2013"/>
    <n v="2013"/>
    <n v="9"/>
    <x v="0"/>
    <s v="9B"/>
    <x v="4"/>
    <n v="1"/>
    <n v="7"/>
    <x v="0"/>
    <x v="0"/>
  </r>
  <r>
    <n v="5950"/>
    <n v="103887387"/>
    <s v="Recovery"/>
    <n v="200"/>
    <s v="AHY"/>
    <s v="M"/>
    <n v="1"/>
    <n v="2014"/>
    <n v="2013"/>
    <n v="9"/>
    <x v="0"/>
    <s v="9B"/>
    <x v="4"/>
    <n v="1"/>
    <n v="7"/>
    <x v="0"/>
    <x v="0"/>
  </r>
  <r>
    <n v="5952"/>
    <n v="103887389"/>
    <s v="Recovery"/>
    <n v="200"/>
    <s v="AHY"/>
    <s v="F"/>
    <n v="12"/>
    <n v="2011"/>
    <n v="2011"/>
    <n v="7"/>
    <x v="0"/>
    <s v="7B"/>
    <x v="9"/>
    <n v="1"/>
    <n v="7"/>
    <x v="0"/>
    <x v="0"/>
  </r>
  <r>
    <n v="5957"/>
    <n v="103887394"/>
    <s v="Recovery"/>
    <n v="200"/>
    <s v="AHY"/>
    <s v="F"/>
    <n v="1"/>
    <n v="2018"/>
    <n v="2017"/>
    <n v="13"/>
    <x v="0"/>
    <s v="13B"/>
    <x v="13"/>
    <n v="1"/>
    <n v="7"/>
    <x v="0"/>
    <x v="0"/>
  </r>
  <r>
    <n v="5970"/>
    <n v="107821007"/>
    <s v="Recovery"/>
    <n v="200"/>
    <s v="AHY"/>
    <s v="M"/>
    <n v="1"/>
    <n v="2012"/>
    <n v="2011"/>
    <n v="7"/>
    <x v="0"/>
    <s v="7B"/>
    <x v="9"/>
    <n v="1"/>
    <n v="7"/>
    <x v="0"/>
    <x v="0"/>
  </r>
  <r>
    <n v="5972"/>
    <n v="107821009"/>
    <s v="Recovery"/>
    <n v="200"/>
    <s v="AHY"/>
    <s v="M"/>
    <n v="11"/>
    <n v="2014"/>
    <n v="2014"/>
    <n v="10"/>
    <x v="0"/>
    <s v="10B"/>
    <x v="7"/>
    <n v="1"/>
    <n v="7"/>
    <x v="0"/>
    <x v="0"/>
  </r>
  <r>
    <n v="5988"/>
    <n v="107821025"/>
    <s v="Recovery"/>
    <n v="200"/>
    <s v="AHY"/>
    <s v="F"/>
    <n v="1"/>
    <n v="2013"/>
    <n v="2012"/>
    <n v="8"/>
    <x v="0"/>
    <s v="8B"/>
    <x v="3"/>
    <n v="1"/>
    <n v="7"/>
    <x v="0"/>
    <x v="0"/>
  </r>
  <r>
    <n v="5993"/>
    <n v="107821030"/>
    <s v="Recovery"/>
    <n v="200"/>
    <s v="HY"/>
    <s v="F"/>
    <n v="9"/>
    <n v="2010"/>
    <n v="2010"/>
    <n v="6"/>
    <x v="0"/>
    <s v="6B"/>
    <x v="2"/>
    <n v="1"/>
    <n v="7"/>
    <x v="0"/>
    <x v="0"/>
  </r>
  <r>
    <n v="5998"/>
    <n v="107821035"/>
    <s v="Recovery"/>
    <n v="200"/>
    <s v="AHY"/>
    <s v="M"/>
    <n v="1"/>
    <n v="2014"/>
    <n v="2013"/>
    <n v="9"/>
    <x v="0"/>
    <s v="9B"/>
    <x v="4"/>
    <n v="1"/>
    <n v="7"/>
    <x v="0"/>
    <x v="0"/>
  </r>
  <r>
    <n v="6000"/>
    <n v="107821037"/>
    <s v="Recovery"/>
    <n v="200"/>
    <s v="AHY"/>
    <s v="F"/>
    <n v="12"/>
    <n v="2018"/>
    <n v="2018"/>
    <n v="14"/>
    <x v="0"/>
    <s v="14B"/>
    <x v="10"/>
    <n v="1"/>
    <n v="7"/>
    <x v="0"/>
    <x v="0"/>
  </r>
  <r>
    <n v="6002"/>
    <n v="107821039"/>
    <s v="Recovery"/>
    <n v="200"/>
    <s v="AHY"/>
    <s v="F"/>
    <n v="9"/>
    <n v="2012"/>
    <n v="2012"/>
    <n v="8"/>
    <x v="0"/>
    <s v="8B"/>
    <x v="3"/>
    <n v="1"/>
    <n v="7"/>
    <x v="0"/>
    <x v="0"/>
  </r>
  <r>
    <n v="6004"/>
    <n v="107821041"/>
    <s v="Recovery"/>
    <n v="200"/>
    <s v="AHY"/>
    <s v="F"/>
    <n v="9"/>
    <n v="2015"/>
    <n v="2015"/>
    <n v="11"/>
    <x v="0"/>
    <s v="11B"/>
    <x v="14"/>
    <n v="1"/>
    <n v="7"/>
    <x v="0"/>
    <x v="0"/>
  </r>
  <r>
    <n v="6005"/>
    <n v="107821042"/>
    <s v="Recovery"/>
    <n v="200"/>
    <s v="AHY"/>
    <s v="M"/>
    <n v="9"/>
    <n v="2010"/>
    <n v="2010"/>
    <n v="6"/>
    <x v="0"/>
    <s v="6B"/>
    <x v="2"/>
    <n v="1"/>
    <n v="7"/>
    <x v="0"/>
    <x v="0"/>
  </r>
  <r>
    <n v="6006"/>
    <n v="107821043"/>
    <s v="Recovery"/>
    <n v="200"/>
    <s v="AHY"/>
    <s v="F"/>
    <n v="9"/>
    <n v="2012"/>
    <n v="2012"/>
    <n v="8"/>
    <x v="0"/>
    <s v="8B"/>
    <x v="3"/>
    <n v="1"/>
    <n v="7"/>
    <x v="0"/>
    <x v="0"/>
  </r>
  <r>
    <n v="6007"/>
    <n v="107821044"/>
    <s v="Recovery"/>
    <n v="200"/>
    <s v="AHY"/>
    <s v="M"/>
    <n v="9"/>
    <n v="2012"/>
    <n v="2012"/>
    <n v="8"/>
    <x v="0"/>
    <s v="8B"/>
    <x v="3"/>
    <n v="1"/>
    <n v="7"/>
    <x v="0"/>
    <x v="0"/>
  </r>
  <r>
    <n v="6009"/>
    <n v="107821046"/>
    <s v="Recovery"/>
    <n v="200"/>
    <s v="AHY"/>
    <s v="F"/>
    <n v="12"/>
    <n v="2016"/>
    <n v="2016"/>
    <n v="12"/>
    <x v="0"/>
    <s v="12B"/>
    <x v="12"/>
    <n v="1"/>
    <n v="7"/>
    <x v="0"/>
    <x v="0"/>
  </r>
  <r>
    <n v="6010"/>
    <n v="107821047"/>
    <s v="Recovery"/>
    <n v="200"/>
    <s v="AHY"/>
    <s v="F"/>
    <n v="1"/>
    <n v="2013"/>
    <n v="2012"/>
    <n v="8"/>
    <x v="0"/>
    <s v="8B"/>
    <x v="3"/>
    <n v="1"/>
    <n v="7"/>
    <x v="0"/>
    <x v="0"/>
  </r>
  <r>
    <n v="6011"/>
    <n v="107821048"/>
    <s v="Recovery"/>
    <n v="200"/>
    <s v="AHY"/>
    <s v="M"/>
    <n v="9"/>
    <n v="2015"/>
    <n v="2015"/>
    <n v="11"/>
    <x v="0"/>
    <s v="11B"/>
    <x v="14"/>
    <n v="1"/>
    <n v="7"/>
    <x v="0"/>
    <x v="0"/>
  </r>
  <r>
    <n v="6015"/>
    <n v="107821052"/>
    <s v="Recovery"/>
    <n v="200"/>
    <s v="AHY"/>
    <s v="M"/>
    <n v="9"/>
    <n v="2014"/>
    <n v="2014"/>
    <n v="10"/>
    <x v="0"/>
    <s v="10B"/>
    <x v="7"/>
    <n v="1"/>
    <n v="7"/>
    <x v="0"/>
    <x v="0"/>
  </r>
  <r>
    <n v="6016"/>
    <n v="107821053"/>
    <s v="Recovery"/>
    <n v="200"/>
    <s v="AHY"/>
    <s v="F"/>
    <n v="9"/>
    <n v="2020"/>
    <n v="2020"/>
    <n v="16"/>
    <x v="0"/>
    <s v="16B"/>
    <x v="15"/>
    <n v="1"/>
    <n v="7"/>
    <x v="0"/>
    <x v="0"/>
  </r>
  <r>
    <n v="6017"/>
    <n v="107821054"/>
    <s v="Recovery"/>
    <n v="200"/>
    <s v="AHY"/>
    <s v="M"/>
    <n v="12"/>
    <n v="2018"/>
    <n v="2018"/>
    <n v="14"/>
    <x v="0"/>
    <s v="14B"/>
    <x v="10"/>
    <n v="1"/>
    <n v="7"/>
    <x v="0"/>
    <x v="0"/>
  </r>
  <r>
    <n v="6020"/>
    <n v="107821057"/>
    <s v="Recovery"/>
    <n v="200"/>
    <s v="HY"/>
    <s v="F"/>
    <n v="9"/>
    <n v="2010"/>
    <n v="2010"/>
    <n v="6"/>
    <x v="0"/>
    <s v="6B"/>
    <x v="2"/>
    <n v="1"/>
    <n v="7"/>
    <x v="0"/>
    <x v="0"/>
  </r>
  <r>
    <n v="6021"/>
    <n v="107821058"/>
    <s v="Recovery"/>
    <n v="200"/>
    <s v="HY"/>
    <s v="F"/>
    <n v="9"/>
    <n v="2010"/>
    <n v="2010"/>
    <n v="6"/>
    <x v="0"/>
    <s v="6B"/>
    <x v="2"/>
    <n v="1"/>
    <n v="7"/>
    <x v="0"/>
    <x v="0"/>
  </r>
  <r>
    <n v="6023"/>
    <n v="107821060"/>
    <s v="Recovery"/>
    <n v="200"/>
    <s v="HY"/>
    <s v="F"/>
    <n v="9"/>
    <n v="2010"/>
    <n v="2010"/>
    <n v="6"/>
    <x v="0"/>
    <s v="6B"/>
    <x v="2"/>
    <n v="1"/>
    <n v="7"/>
    <x v="0"/>
    <x v="0"/>
  </r>
  <r>
    <n v="6024"/>
    <n v="107821061"/>
    <s v="Recovery"/>
    <n v="200"/>
    <s v="HY"/>
    <s v="F"/>
    <n v="9"/>
    <n v="2010"/>
    <n v="2010"/>
    <n v="6"/>
    <x v="0"/>
    <s v="6B"/>
    <x v="2"/>
    <n v="1"/>
    <n v="7"/>
    <x v="0"/>
    <x v="0"/>
  </r>
  <r>
    <n v="6025"/>
    <n v="107821062"/>
    <s v="Recovery"/>
    <n v="200"/>
    <s v="AHY"/>
    <s v="F"/>
    <n v="9"/>
    <n v="2011"/>
    <n v="2011"/>
    <n v="7"/>
    <x v="0"/>
    <s v="7B"/>
    <x v="9"/>
    <n v="1"/>
    <n v="7"/>
    <x v="0"/>
    <x v="0"/>
  </r>
  <r>
    <n v="6026"/>
    <n v="107821063"/>
    <s v="Recovery"/>
    <n v="200"/>
    <s v="HY"/>
    <s v="F"/>
    <n v="9"/>
    <n v="2010"/>
    <n v="2010"/>
    <n v="6"/>
    <x v="0"/>
    <s v="6B"/>
    <x v="2"/>
    <n v="1"/>
    <n v="7"/>
    <x v="0"/>
    <x v="0"/>
  </r>
  <r>
    <n v="6027"/>
    <n v="107821064"/>
    <s v="Recovery"/>
    <n v="200"/>
    <s v="HY"/>
    <s v="F"/>
    <n v="9"/>
    <n v="2010"/>
    <n v="2010"/>
    <n v="6"/>
    <x v="0"/>
    <s v="6B"/>
    <x v="2"/>
    <n v="1"/>
    <n v="7"/>
    <x v="0"/>
    <x v="0"/>
  </r>
  <r>
    <n v="6028"/>
    <n v="107821065"/>
    <s v="Recovery"/>
    <n v="200"/>
    <s v="AHY"/>
    <s v="M"/>
    <n v="9"/>
    <n v="2010"/>
    <n v="2010"/>
    <n v="6"/>
    <x v="0"/>
    <s v="6B"/>
    <x v="2"/>
    <n v="1"/>
    <n v="7"/>
    <x v="0"/>
    <x v="0"/>
  </r>
  <r>
    <n v="6029"/>
    <n v="107821066"/>
    <s v="Recovery"/>
    <n v="200"/>
    <s v="AHY"/>
    <s v="M"/>
    <n v="9"/>
    <n v="2010"/>
    <n v="2010"/>
    <n v="6"/>
    <x v="0"/>
    <s v="6B"/>
    <x v="2"/>
    <n v="1"/>
    <n v="7"/>
    <x v="0"/>
    <x v="0"/>
  </r>
  <r>
    <n v="6030"/>
    <n v="107821067"/>
    <s v="Recovery"/>
    <n v="200"/>
    <s v="AHY"/>
    <s v="M"/>
    <n v="9"/>
    <n v="2011"/>
    <n v="2011"/>
    <n v="7"/>
    <x v="0"/>
    <s v="7B"/>
    <x v="9"/>
    <n v="1"/>
    <n v="7"/>
    <x v="0"/>
    <x v="0"/>
  </r>
  <r>
    <n v="6031"/>
    <n v="107821068"/>
    <s v="Recovery"/>
    <n v="200"/>
    <s v="AHY"/>
    <s v="F"/>
    <n v="9"/>
    <n v="2016"/>
    <n v="2016"/>
    <n v="12"/>
    <x v="0"/>
    <s v="12B"/>
    <x v="12"/>
    <n v="1"/>
    <n v="7"/>
    <x v="0"/>
    <x v="0"/>
  </r>
  <r>
    <n v="6033"/>
    <n v="107821070"/>
    <s v="Recovery"/>
    <n v="200"/>
    <s v="AHY"/>
    <s v="F"/>
    <n v="9"/>
    <n v="2010"/>
    <n v="2010"/>
    <n v="6"/>
    <x v="0"/>
    <s v="6B"/>
    <x v="2"/>
    <n v="1"/>
    <n v="7"/>
    <x v="0"/>
    <x v="0"/>
  </r>
  <r>
    <n v="6034"/>
    <n v="107821201"/>
    <s v="Recovery"/>
    <n v="200"/>
    <s v="AHY"/>
    <s v="M"/>
    <n v="12"/>
    <n v="2014"/>
    <n v="2014"/>
    <n v="10"/>
    <x v="0"/>
    <s v="10B"/>
    <x v="7"/>
    <n v="1"/>
    <n v="7"/>
    <x v="0"/>
    <x v="0"/>
  </r>
  <r>
    <n v="6039"/>
    <n v="107821206"/>
    <s v="Recovery"/>
    <n v="200"/>
    <s v="AHY"/>
    <s v="F"/>
    <n v="1"/>
    <n v="2012"/>
    <n v="2011"/>
    <n v="7"/>
    <x v="0"/>
    <s v="7B"/>
    <x v="9"/>
    <n v="1"/>
    <n v="7"/>
    <x v="0"/>
    <x v="0"/>
  </r>
  <r>
    <n v="6040"/>
    <n v="107821207"/>
    <s v="Recovery"/>
    <n v="200"/>
    <s v="AHY"/>
    <s v="F"/>
    <n v="12"/>
    <n v="2012"/>
    <n v="2012"/>
    <n v="8"/>
    <x v="0"/>
    <s v="8B"/>
    <x v="3"/>
    <n v="1"/>
    <n v="7"/>
    <x v="0"/>
    <x v="0"/>
  </r>
  <r>
    <n v="6043"/>
    <n v="107821210"/>
    <s v="Recovery"/>
    <n v="200"/>
    <s v="AHY"/>
    <s v="M"/>
    <n v="1"/>
    <n v="2012"/>
    <n v="2011"/>
    <n v="7"/>
    <x v="0"/>
    <s v="7B"/>
    <x v="9"/>
    <n v="1"/>
    <n v="7"/>
    <x v="0"/>
    <x v="0"/>
  </r>
  <r>
    <n v="6053"/>
    <n v="107821220"/>
    <s v="Recovery"/>
    <n v="200"/>
    <s v="AHY"/>
    <s v="F"/>
    <n v="12"/>
    <n v="2016"/>
    <n v="2016"/>
    <n v="12"/>
    <x v="0"/>
    <s v="12B"/>
    <x v="12"/>
    <n v="1"/>
    <n v="7"/>
    <x v="0"/>
    <x v="0"/>
  </r>
  <r>
    <n v="6055"/>
    <n v="107821222"/>
    <s v="Recovery"/>
    <n v="200"/>
    <s v="AHY"/>
    <s v="M"/>
    <n v="9"/>
    <n v="2015"/>
    <n v="2015"/>
    <n v="11"/>
    <x v="0"/>
    <s v="11B"/>
    <x v="14"/>
    <n v="1"/>
    <n v="7"/>
    <x v="0"/>
    <x v="0"/>
  </r>
  <r>
    <n v="6061"/>
    <n v="107821228"/>
    <s v="Recovery"/>
    <n v="200"/>
    <s v="AHY"/>
    <s v="F"/>
    <n v="9"/>
    <n v="2012"/>
    <n v="2012"/>
    <n v="8"/>
    <x v="0"/>
    <s v="8B"/>
    <x v="3"/>
    <n v="1"/>
    <n v="7"/>
    <x v="0"/>
    <x v="0"/>
  </r>
  <r>
    <n v="6062"/>
    <n v="107821229"/>
    <s v="Recovery"/>
    <n v="200"/>
    <s v="AHY"/>
    <s v="F"/>
    <n v="9"/>
    <n v="2015"/>
    <n v="2015"/>
    <n v="11"/>
    <x v="0"/>
    <s v="11B"/>
    <x v="14"/>
    <n v="1"/>
    <n v="7"/>
    <x v="0"/>
    <x v="0"/>
  </r>
  <r>
    <n v="6063"/>
    <n v="107821230"/>
    <s v="Recovery"/>
    <n v="200"/>
    <s v="AHY"/>
    <s v="F"/>
    <n v="9"/>
    <n v="2013"/>
    <n v="2013"/>
    <n v="9"/>
    <x v="0"/>
    <s v="9B"/>
    <x v="4"/>
    <n v="1"/>
    <n v="7"/>
    <x v="0"/>
    <x v="0"/>
  </r>
  <r>
    <n v="6071"/>
    <n v="107821238"/>
    <s v="Recovery"/>
    <n v="200"/>
    <s v="AHY"/>
    <s v="F"/>
    <n v="9"/>
    <n v="2015"/>
    <n v="2015"/>
    <n v="11"/>
    <x v="0"/>
    <s v="11B"/>
    <x v="14"/>
    <n v="1"/>
    <n v="7"/>
    <x v="0"/>
    <x v="0"/>
  </r>
  <r>
    <n v="6074"/>
    <n v="107821241"/>
    <s v="Recovery"/>
    <n v="200"/>
    <s v="AHY"/>
    <s v="F"/>
    <n v="11"/>
    <n v="2013"/>
    <n v="2013"/>
    <n v="9"/>
    <x v="0"/>
    <s v="9B"/>
    <x v="4"/>
    <n v="1"/>
    <n v="7"/>
    <x v="0"/>
    <x v="0"/>
  </r>
  <r>
    <n v="6075"/>
    <n v="107821242"/>
    <s v="Recovery"/>
    <n v="200"/>
    <s v="AHY"/>
    <s v="F"/>
    <n v="9"/>
    <n v="2015"/>
    <n v="2015"/>
    <n v="11"/>
    <x v="0"/>
    <s v="11B"/>
    <x v="14"/>
    <n v="1"/>
    <n v="7"/>
    <x v="0"/>
    <x v="0"/>
  </r>
  <r>
    <n v="6084"/>
    <n v="107821251"/>
    <s v="Recovery"/>
    <n v="200"/>
    <s v="AHY"/>
    <s v="M"/>
    <n v="1"/>
    <n v="2011"/>
    <n v="2010"/>
    <n v="6"/>
    <x v="0"/>
    <s v="6B"/>
    <x v="2"/>
    <n v="1"/>
    <n v="7"/>
    <x v="0"/>
    <x v="0"/>
  </r>
  <r>
    <n v="6092"/>
    <n v="107821259"/>
    <s v="Recovery"/>
    <n v="200"/>
    <s v="AHY"/>
    <s v="M"/>
    <n v="9"/>
    <n v="2018"/>
    <n v="2018"/>
    <n v="14"/>
    <x v="0"/>
    <s v="14B"/>
    <x v="10"/>
    <n v="1"/>
    <n v="7"/>
    <x v="0"/>
    <x v="0"/>
  </r>
  <r>
    <n v="6093"/>
    <n v="107821260"/>
    <s v="Recovery"/>
    <n v="200"/>
    <s v="AHY"/>
    <s v="F"/>
    <n v="9"/>
    <n v="2014"/>
    <n v="2014"/>
    <n v="10"/>
    <x v="0"/>
    <s v="10B"/>
    <x v="7"/>
    <n v="1"/>
    <n v="7"/>
    <x v="0"/>
    <x v="0"/>
  </r>
  <r>
    <n v="6097"/>
    <n v="107821264"/>
    <s v="Recovery"/>
    <n v="200"/>
    <s v="AHY"/>
    <s v="F"/>
    <n v="1"/>
    <n v="2019"/>
    <n v="2018"/>
    <n v="14"/>
    <x v="0"/>
    <s v="14B"/>
    <x v="10"/>
    <n v="1"/>
    <n v="7"/>
    <x v="0"/>
    <x v="0"/>
  </r>
  <r>
    <n v="6102"/>
    <n v="107821269"/>
    <s v="Recovery"/>
    <n v="200"/>
    <s v="AHY"/>
    <s v="F"/>
    <n v="9"/>
    <n v="2013"/>
    <n v="2013"/>
    <n v="9"/>
    <x v="0"/>
    <s v="9B"/>
    <x v="4"/>
    <n v="1"/>
    <n v="7"/>
    <x v="0"/>
    <x v="0"/>
  </r>
  <r>
    <n v="6114"/>
    <n v="107821281"/>
    <s v="Recovery"/>
    <n v="200"/>
    <s v="AHY"/>
    <s v="M"/>
    <n v="9"/>
    <n v="2011"/>
    <n v="2011"/>
    <n v="7"/>
    <x v="0"/>
    <s v="7B"/>
    <x v="9"/>
    <n v="1"/>
    <n v="7"/>
    <x v="0"/>
    <x v="0"/>
  </r>
  <r>
    <n v="6121"/>
    <n v="107821288"/>
    <s v="Recovery"/>
    <n v="200"/>
    <s v="AHY"/>
    <s v="F"/>
    <n v="12"/>
    <n v="2013"/>
    <n v="2013"/>
    <n v="9"/>
    <x v="0"/>
    <s v="9B"/>
    <x v="4"/>
    <n v="1"/>
    <n v="7"/>
    <x v="0"/>
    <x v="0"/>
  </r>
  <r>
    <n v="6122"/>
    <n v="107821289"/>
    <s v="Recovery"/>
    <n v="200"/>
    <s v="AHY"/>
    <s v="F"/>
    <n v="9"/>
    <n v="2014"/>
    <n v="2014"/>
    <n v="10"/>
    <x v="0"/>
    <s v="10B"/>
    <x v="7"/>
    <n v="1"/>
    <n v="7"/>
    <x v="0"/>
    <x v="0"/>
  </r>
  <r>
    <n v="6129"/>
    <n v="107821296"/>
    <s v="Recovery"/>
    <n v="200"/>
    <s v="AHY"/>
    <s v="M"/>
    <n v="9"/>
    <n v="2011"/>
    <n v="2011"/>
    <n v="7"/>
    <x v="0"/>
    <s v="7B"/>
    <x v="9"/>
    <n v="1"/>
    <n v="7"/>
    <x v="0"/>
    <x v="0"/>
  </r>
  <r>
    <n v="6133"/>
    <n v="107821300"/>
    <s v="Recovery"/>
    <n v="200"/>
    <s v="AHY"/>
    <s v="M"/>
    <n v="1"/>
    <n v="2011"/>
    <n v="2010"/>
    <n v="6"/>
    <x v="0"/>
    <s v="6B"/>
    <x v="2"/>
    <n v="1"/>
    <n v="7"/>
    <x v="0"/>
    <x v="0"/>
  </r>
  <r>
    <n v="6137"/>
    <n v="107821304"/>
    <s v="Recovery"/>
    <n v="200"/>
    <s v="HY"/>
    <s v="F"/>
    <n v="12"/>
    <n v="2010"/>
    <n v="2010"/>
    <n v="6"/>
    <x v="0"/>
    <s v="6B"/>
    <x v="2"/>
    <n v="1"/>
    <n v="7"/>
    <x v="0"/>
    <x v="0"/>
  </r>
  <r>
    <n v="6139"/>
    <n v="107821306"/>
    <s v="Recovery"/>
    <n v="200"/>
    <s v="AHY"/>
    <s v="F"/>
    <n v="9"/>
    <n v="2014"/>
    <n v="2014"/>
    <n v="10"/>
    <x v="0"/>
    <s v="10B"/>
    <x v="7"/>
    <n v="1"/>
    <n v="7"/>
    <x v="0"/>
    <x v="0"/>
  </r>
  <r>
    <n v="6141"/>
    <n v="107821308"/>
    <s v="Recovery"/>
    <n v="200"/>
    <s v="AHY"/>
    <s v="M"/>
    <n v="1"/>
    <n v="2015"/>
    <n v="2014"/>
    <n v="10"/>
    <x v="0"/>
    <s v="10B"/>
    <x v="7"/>
    <n v="1"/>
    <n v="7"/>
    <x v="0"/>
    <x v="0"/>
  </r>
  <r>
    <n v="6150"/>
    <n v="107821317"/>
    <s v="Recovery"/>
    <n v="200"/>
    <s v="AHY"/>
    <s v="M"/>
    <n v="12"/>
    <n v="2014"/>
    <n v="2014"/>
    <n v="10"/>
    <x v="0"/>
    <s v="10B"/>
    <x v="7"/>
    <n v="1"/>
    <n v="7"/>
    <x v="0"/>
    <x v="0"/>
  </r>
  <r>
    <n v="6154"/>
    <n v="107821321"/>
    <s v="Recovery"/>
    <n v="200"/>
    <s v="AHY"/>
    <s v="M"/>
    <n v="11"/>
    <n v="2010"/>
    <n v="2010"/>
    <n v="6"/>
    <x v="0"/>
    <s v="6B"/>
    <x v="2"/>
    <n v="1"/>
    <n v="7"/>
    <x v="0"/>
    <x v="0"/>
  </r>
  <r>
    <n v="6156"/>
    <n v="107821323"/>
    <s v="Recovery"/>
    <n v="200"/>
    <s v="AHY"/>
    <s v="M"/>
    <n v="11"/>
    <n v="2018"/>
    <n v="2018"/>
    <n v="14"/>
    <x v="0"/>
    <s v="14B"/>
    <x v="10"/>
    <n v="1"/>
    <n v="7"/>
    <x v="0"/>
    <x v="0"/>
  </r>
  <r>
    <n v="6164"/>
    <n v="107821331"/>
    <s v="Recovery"/>
    <n v="200"/>
    <s v="HY"/>
    <s v="F"/>
    <n v="12"/>
    <n v="2010"/>
    <n v="2010"/>
    <n v="6"/>
    <x v="0"/>
    <s v="6B"/>
    <x v="2"/>
    <n v="1"/>
    <n v="7"/>
    <x v="0"/>
    <x v="0"/>
  </r>
  <r>
    <n v="6166"/>
    <n v="107821333"/>
    <s v="Recovery"/>
    <n v="200"/>
    <s v="AHY"/>
    <s v="M"/>
    <n v="1"/>
    <n v="2013"/>
    <n v="2012"/>
    <n v="8"/>
    <x v="0"/>
    <s v="8B"/>
    <x v="3"/>
    <n v="1"/>
    <n v="7"/>
    <x v="0"/>
    <x v="0"/>
  </r>
  <r>
    <n v="6169"/>
    <n v="107821336"/>
    <s v="Recovery"/>
    <n v="200"/>
    <s v="AHY"/>
    <s v="M"/>
    <n v="12"/>
    <n v="2010"/>
    <n v="2010"/>
    <n v="6"/>
    <x v="0"/>
    <s v="6B"/>
    <x v="2"/>
    <n v="1"/>
    <n v="7"/>
    <x v="0"/>
    <x v="0"/>
  </r>
  <r>
    <n v="6177"/>
    <n v="107821344"/>
    <s v="Recovery"/>
    <n v="200"/>
    <s v="AHY"/>
    <s v="M"/>
    <n v="1"/>
    <n v="2011"/>
    <n v="2010"/>
    <n v="6"/>
    <x v="0"/>
    <s v="6B"/>
    <x v="2"/>
    <n v="1"/>
    <n v="7"/>
    <x v="0"/>
    <x v="0"/>
  </r>
  <r>
    <n v="6182"/>
    <n v="107821349"/>
    <s v="Recovery"/>
    <n v="200"/>
    <s v="AHY"/>
    <s v="F"/>
    <n v="12"/>
    <n v="2010"/>
    <n v="2010"/>
    <n v="6"/>
    <x v="0"/>
    <s v="6B"/>
    <x v="2"/>
    <n v="1"/>
    <n v="7"/>
    <x v="0"/>
    <x v="0"/>
  </r>
  <r>
    <n v="6184"/>
    <n v="107821351"/>
    <s v="Recovery"/>
    <n v="200"/>
    <s v="AHY"/>
    <s v="F"/>
    <n v="9"/>
    <n v="2013"/>
    <n v="2013"/>
    <n v="9"/>
    <x v="0"/>
    <s v="9B"/>
    <x v="4"/>
    <n v="1"/>
    <n v="7"/>
    <x v="0"/>
    <x v="0"/>
  </r>
  <r>
    <n v="6185"/>
    <n v="107821352"/>
    <s v="Recovery"/>
    <n v="200"/>
    <s v="AHY"/>
    <s v="M"/>
    <n v="9"/>
    <n v="2014"/>
    <n v="2014"/>
    <n v="10"/>
    <x v="0"/>
    <s v="10B"/>
    <x v="7"/>
    <n v="1"/>
    <n v="7"/>
    <x v="0"/>
    <x v="0"/>
  </r>
  <r>
    <n v="6190"/>
    <n v="107821357"/>
    <s v="Recovery"/>
    <n v="200"/>
    <s v="AHY"/>
    <s v="F"/>
    <n v="9"/>
    <n v="2014"/>
    <n v="2014"/>
    <n v="10"/>
    <x v="0"/>
    <s v="10B"/>
    <x v="7"/>
    <n v="1"/>
    <n v="7"/>
    <x v="0"/>
    <x v="0"/>
  </r>
  <r>
    <n v="6195"/>
    <n v="107821362"/>
    <s v="Recovery"/>
    <n v="200"/>
    <s v="AHY"/>
    <s v="F"/>
    <n v="9"/>
    <n v="2012"/>
    <n v="2012"/>
    <n v="8"/>
    <x v="0"/>
    <s v="8B"/>
    <x v="3"/>
    <n v="1"/>
    <n v="7"/>
    <x v="0"/>
    <x v="0"/>
  </r>
  <r>
    <n v="6197"/>
    <n v="107821364"/>
    <s v="Recovery"/>
    <n v="200"/>
    <s v="AHY"/>
    <s v="M"/>
    <n v="9"/>
    <n v="2010"/>
    <n v="2010"/>
    <n v="6"/>
    <x v="0"/>
    <s v="6B"/>
    <x v="2"/>
    <n v="1"/>
    <n v="7"/>
    <x v="0"/>
    <x v="0"/>
  </r>
  <r>
    <n v="6198"/>
    <n v="107821365"/>
    <s v="Recovery"/>
    <n v="200"/>
    <s v="AHY"/>
    <s v="M"/>
    <n v="1"/>
    <n v="2011"/>
    <n v="2010"/>
    <n v="6"/>
    <x v="0"/>
    <s v="6B"/>
    <x v="2"/>
    <n v="1"/>
    <n v="7"/>
    <x v="0"/>
    <x v="0"/>
  </r>
  <r>
    <n v="6199"/>
    <n v="107821366"/>
    <s v="Recovery"/>
    <n v="200"/>
    <s v="AHY"/>
    <s v="F"/>
    <n v="1"/>
    <n v="2012"/>
    <n v="2011"/>
    <n v="7"/>
    <x v="0"/>
    <s v="7B"/>
    <x v="9"/>
    <n v="1"/>
    <n v="7"/>
    <x v="0"/>
    <x v="0"/>
  </r>
  <r>
    <n v="6200"/>
    <n v="107821367"/>
    <s v="Recovery"/>
    <n v="200"/>
    <s v="AHY"/>
    <s v="M"/>
    <n v="9"/>
    <n v="2010"/>
    <n v="2010"/>
    <n v="6"/>
    <x v="0"/>
    <s v="6B"/>
    <x v="2"/>
    <n v="1"/>
    <n v="7"/>
    <x v="0"/>
    <x v="0"/>
  </r>
  <r>
    <n v="6201"/>
    <n v="107821368"/>
    <s v="Recovery"/>
    <n v="200"/>
    <s v="AHY"/>
    <s v="M"/>
    <n v="1"/>
    <n v="2014"/>
    <n v="2013"/>
    <n v="9"/>
    <x v="0"/>
    <s v="9B"/>
    <x v="4"/>
    <n v="1"/>
    <n v="7"/>
    <x v="0"/>
    <x v="0"/>
  </r>
  <r>
    <n v="6205"/>
    <n v="107821372"/>
    <s v="Recovery"/>
    <n v="200"/>
    <s v="AHY"/>
    <s v="M"/>
    <n v="9"/>
    <n v="2010"/>
    <n v="2010"/>
    <n v="6"/>
    <x v="0"/>
    <s v="6B"/>
    <x v="2"/>
    <n v="1"/>
    <n v="7"/>
    <x v="0"/>
    <x v="0"/>
  </r>
  <r>
    <n v="6207"/>
    <n v="107821374"/>
    <s v="Recovery"/>
    <n v="200"/>
    <s v="AHY"/>
    <s v="F"/>
    <n v="12"/>
    <n v="2010"/>
    <n v="2010"/>
    <n v="6"/>
    <x v="0"/>
    <s v="6B"/>
    <x v="2"/>
    <n v="1"/>
    <n v="7"/>
    <x v="0"/>
    <x v="0"/>
  </r>
  <r>
    <n v="6212"/>
    <n v="107821379"/>
    <s v="Recovery"/>
    <n v="200"/>
    <s v="AHY"/>
    <s v="M"/>
    <n v="1"/>
    <n v="2014"/>
    <n v="2013"/>
    <n v="9"/>
    <x v="0"/>
    <s v="9B"/>
    <x v="4"/>
    <n v="1"/>
    <n v="7"/>
    <x v="0"/>
    <x v="0"/>
  </r>
  <r>
    <n v="6213"/>
    <n v="107821380"/>
    <s v="Recovery"/>
    <n v="200"/>
    <s v="AHY"/>
    <s v="F"/>
    <n v="9"/>
    <n v="2011"/>
    <n v="2011"/>
    <n v="7"/>
    <x v="0"/>
    <s v="7B"/>
    <x v="9"/>
    <n v="1"/>
    <n v="7"/>
    <x v="0"/>
    <x v="0"/>
  </r>
  <r>
    <n v="6214"/>
    <n v="107821381"/>
    <s v="Recovery"/>
    <n v="200"/>
    <s v="AHY"/>
    <s v="F"/>
    <n v="1"/>
    <n v="2021"/>
    <n v="2020"/>
    <n v="16"/>
    <x v="0"/>
    <s v="16B"/>
    <x v="15"/>
    <n v="1"/>
    <n v="7"/>
    <x v="0"/>
    <x v="0"/>
  </r>
  <r>
    <n v="6215"/>
    <n v="107821382"/>
    <s v="Recovery"/>
    <n v="200"/>
    <s v="AHY"/>
    <s v="M"/>
    <n v="1"/>
    <n v="2012"/>
    <n v="2011"/>
    <n v="7"/>
    <x v="0"/>
    <s v="7B"/>
    <x v="9"/>
    <n v="1"/>
    <n v="7"/>
    <x v="0"/>
    <x v="0"/>
  </r>
  <r>
    <n v="6216"/>
    <n v="107821383"/>
    <s v="Recovery"/>
    <n v="200"/>
    <s v="AHY"/>
    <s v="M"/>
    <n v="11"/>
    <n v="2013"/>
    <n v="2013"/>
    <n v="9"/>
    <x v="0"/>
    <s v="9B"/>
    <x v="4"/>
    <n v="1"/>
    <n v="7"/>
    <x v="0"/>
    <x v="0"/>
  </r>
  <r>
    <n v="6221"/>
    <n v="107821388"/>
    <s v="Recovery"/>
    <n v="200"/>
    <s v="AHY"/>
    <s v="M"/>
    <n v="1"/>
    <n v="2015"/>
    <n v="2014"/>
    <n v="10"/>
    <x v="0"/>
    <s v="10B"/>
    <x v="7"/>
    <n v="1"/>
    <n v="7"/>
    <x v="0"/>
    <x v="0"/>
  </r>
  <r>
    <n v="6222"/>
    <n v="107821389"/>
    <s v="Recovery"/>
    <n v="200"/>
    <s v="AHY"/>
    <s v="F"/>
    <n v="11"/>
    <n v="2012"/>
    <n v="2012"/>
    <n v="8"/>
    <x v="0"/>
    <s v="8B"/>
    <x v="3"/>
    <n v="1"/>
    <n v="7"/>
    <x v="0"/>
    <x v="0"/>
  </r>
  <r>
    <n v="6224"/>
    <n v="107821391"/>
    <s v="Recovery"/>
    <n v="200"/>
    <s v="AHY"/>
    <s v="M"/>
    <n v="1"/>
    <n v="2011"/>
    <n v="2010"/>
    <n v="6"/>
    <x v="0"/>
    <s v="6B"/>
    <x v="2"/>
    <n v="1"/>
    <n v="7"/>
    <x v="0"/>
    <x v="0"/>
  </r>
  <r>
    <n v="6226"/>
    <n v="107821393"/>
    <s v="Recovery"/>
    <n v="200"/>
    <s v="AHY"/>
    <s v="M"/>
    <n v="1"/>
    <n v="2012"/>
    <n v="2011"/>
    <n v="7"/>
    <x v="0"/>
    <s v="7B"/>
    <x v="9"/>
    <n v="1"/>
    <n v="7"/>
    <x v="0"/>
    <x v="0"/>
  </r>
  <r>
    <n v="6227"/>
    <n v="107821394"/>
    <s v="Recovery"/>
    <n v="200"/>
    <s v="AHY"/>
    <s v="M"/>
    <n v="1"/>
    <n v="2012"/>
    <n v="2011"/>
    <n v="7"/>
    <x v="0"/>
    <s v="7B"/>
    <x v="9"/>
    <n v="1"/>
    <n v="7"/>
    <x v="0"/>
    <x v="0"/>
  </r>
  <r>
    <n v="6244"/>
    <n v="107821411"/>
    <s v="Recovery"/>
    <n v="200"/>
    <s v="AHY"/>
    <s v="F"/>
    <n v="12"/>
    <n v="2011"/>
    <n v="2011"/>
    <n v="7"/>
    <x v="0"/>
    <s v="7B"/>
    <x v="9"/>
    <n v="1"/>
    <n v="7"/>
    <x v="0"/>
    <x v="0"/>
  </r>
  <r>
    <n v="6245"/>
    <n v="107821412"/>
    <s v="Recovery"/>
    <n v="200"/>
    <s v="AHY"/>
    <s v="M"/>
    <n v="12"/>
    <n v="2013"/>
    <n v="2013"/>
    <n v="9"/>
    <x v="0"/>
    <s v="9B"/>
    <x v="4"/>
    <n v="1"/>
    <n v="7"/>
    <x v="0"/>
    <x v="0"/>
  </r>
  <r>
    <n v="6248"/>
    <n v="107821415"/>
    <s v="Recovery"/>
    <n v="200"/>
    <s v="AHY"/>
    <s v="M"/>
    <n v="12"/>
    <n v="2010"/>
    <n v="2010"/>
    <n v="6"/>
    <x v="0"/>
    <s v="6B"/>
    <x v="2"/>
    <n v="1"/>
    <n v="7"/>
    <x v="0"/>
    <x v="0"/>
  </r>
  <r>
    <n v="6252"/>
    <n v="107821419"/>
    <s v="Recovery"/>
    <n v="200"/>
    <s v="AHY"/>
    <s v="M"/>
    <n v="1"/>
    <n v="2016"/>
    <n v="2015"/>
    <n v="11"/>
    <x v="0"/>
    <s v="11B"/>
    <x v="14"/>
    <n v="1"/>
    <n v="7"/>
    <x v="0"/>
    <x v="0"/>
  </r>
  <r>
    <n v="6253"/>
    <n v="107821420"/>
    <s v="Recovery"/>
    <n v="200"/>
    <s v="AHY"/>
    <s v="M"/>
    <n v="9"/>
    <n v="2010"/>
    <n v="2010"/>
    <n v="6"/>
    <x v="0"/>
    <s v="6B"/>
    <x v="2"/>
    <n v="1"/>
    <n v="7"/>
    <x v="0"/>
    <x v="0"/>
  </r>
  <r>
    <n v="6265"/>
    <n v="107821432"/>
    <s v="Recovery"/>
    <n v="200"/>
    <s v="AHY"/>
    <s v="M"/>
    <n v="1"/>
    <n v="2011"/>
    <n v="2010"/>
    <n v="6"/>
    <x v="0"/>
    <s v="6B"/>
    <x v="2"/>
    <n v="1"/>
    <n v="7"/>
    <x v="0"/>
    <x v="0"/>
  </r>
  <r>
    <n v="6268"/>
    <n v="107821435"/>
    <s v="Recovery"/>
    <n v="200"/>
    <s v="AHY"/>
    <s v="M"/>
    <n v="12"/>
    <n v="2015"/>
    <n v="2015"/>
    <n v="11"/>
    <x v="0"/>
    <s v="11B"/>
    <x v="14"/>
    <n v="1"/>
    <n v="7"/>
    <x v="0"/>
    <x v="0"/>
  </r>
  <r>
    <n v="6269"/>
    <n v="107821436"/>
    <s v="Recovery"/>
    <n v="200"/>
    <s v="AHY"/>
    <s v="F"/>
    <n v="1"/>
    <n v="2015"/>
    <n v="2014"/>
    <n v="10"/>
    <x v="0"/>
    <s v="10B"/>
    <x v="7"/>
    <n v="1"/>
    <n v="7"/>
    <x v="0"/>
    <x v="0"/>
  </r>
  <r>
    <n v="6270"/>
    <n v="107821437"/>
    <s v="Recovery"/>
    <n v="200"/>
    <s v="AHY"/>
    <s v="M"/>
    <n v="12"/>
    <n v="2013"/>
    <n v="2013"/>
    <n v="9"/>
    <x v="0"/>
    <s v="9B"/>
    <x v="4"/>
    <n v="1"/>
    <n v="7"/>
    <x v="0"/>
    <x v="0"/>
  </r>
  <r>
    <n v="6272"/>
    <n v="107821439"/>
    <s v="Recovery"/>
    <n v="200"/>
    <s v="AHY"/>
    <s v="F"/>
    <n v="1"/>
    <n v="2012"/>
    <n v="2011"/>
    <n v="7"/>
    <x v="0"/>
    <s v="7B"/>
    <x v="9"/>
    <n v="1"/>
    <n v="7"/>
    <x v="0"/>
    <x v="0"/>
  </r>
  <r>
    <n v="6274"/>
    <n v="107821441"/>
    <s v="Recovery"/>
    <n v="200"/>
    <s v="AHY"/>
    <s v="F"/>
    <n v="1"/>
    <n v="2013"/>
    <n v="2012"/>
    <n v="8"/>
    <x v="0"/>
    <s v="8B"/>
    <x v="3"/>
    <n v="1"/>
    <n v="7"/>
    <x v="0"/>
    <x v="0"/>
  </r>
  <r>
    <n v="6278"/>
    <n v="107821445"/>
    <s v="Recovery"/>
    <n v="200"/>
    <s v="AHY"/>
    <s v="M"/>
    <n v="1"/>
    <n v="2013"/>
    <n v="2012"/>
    <n v="8"/>
    <x v="0"/>
    <s v="8B"/>
    <x v="3"/>
    <n v="1"/>
    <n v="7"/>
    <x v="0"/>
    <x v="0"/>
  </r>
  <r>
    <n v="6279"/>
    <n v="107821446"/>
    <s v="Recovery"/>
    <n v="200"/>
    <s v="AHY"/>
    <s v="M"/>
    <n v="1"/>
    <n v="2013"/>
    <n v="2012"/>
    <n v="8"/>
    <x v="0"/>
    <s v="8B"/>
    <x v="3"/>
    <n v="1"/>
    <n v="7"/>
    <x v="0"/>
    <x v="0"/>
  </r>
  <r>
    <n v="6283"/>
    <n v="107821450"/>
    <s v="Recovery"/>
    <n v="200"/>
    <s v="AHY"/>
    <s v="M"/>
    <n v="9"/>
    <n v="2020"/>
    <n v="2020"/>
    <n v="16"/>
    <x v="0"/>
    <s v="16B"/>
    <x v="15"/>
    <n v="1"/>
    <n v="7"/>
    <x v="0"/>
    <x v="0"/>
  </r>
  <r>
    <n v="6284"/>
    <n v="107821451"/>
    <s v="Recovery"/>
    <n v="200"/>
    <s v="AHY"/>
    <s v="F"/>
    <n v="9"/>
    <n v="2011"/>
    <n v="2011"/>
    <n v="7"/>
    <x v="0"/>
    <s v="7B"/>
    <x v="9"/>
    <n v="1"/>
    <n v="7"/>
    <x v="0"/>
    <x v="0"/>
  </r>
  <r>
    <n v="6291"/>
    <n v="107821458"/>
    <s v="Recovery"/>
    <n v="200"/>
    <s v="AHY"/>
    <s v="M"/>
    <n v="1"/>
    <n v="2012"/>
    <n v="2011"/>
    <n v="7"/>
    <x v="0"/>
    <s v="7B"/>
    <x v="9"/>
    <n v="1"/>
    <n v="7"/>
    <x v="0"/>
    <x v="0"/>
  </r>
  <r>
    <n v="6297"/>
    <n v="107821464"/>
    <s v="Recovery"/>
    <n v="200"/>
    <s v="AHY"/>
    <s v="M"/>
    <n v="9"/>
    <n v="2010"/>
    <n v="2010"/>
    <n v="6"/>
    <x v="0"/>
    <s v="6B"/>
    <x v="2"/>
    <n v="1"/>
    <n v="7"/>
    <x v="0"/>
    <x v="0"/>
  </r>
  <r>
    <n v="6300"/>
    <n v="107821467"/>
    <s v="Recovery"/>
    <n v="200"/>
    <s v="AHY"/>
    <s v="M"/>
    <n v="12"/>
    <n v="2017"/>
    <n v="2017"/>
    <n v="13"/>
    <x v="0"/>
    <s v="13B"/>
    <x v="13"/>
    <n v="1"/>
    <n v="7"/>
    <x v="0"/>
    <x v="0"/>
  </r>
  <r>
    <n v="6302"/>
    <n v="107821469"/>
    <s v="Recovery"/>
    <n v="200"/>
    <s v="AHY"/>
    <s v="F"/>
    <n v="9"/>
    <n v="2010"/>
    <n v="2010"/>
    <n v="6"/>
    <x v="0"/>
    <s v="6B"/>
    <x v="2"/>
    <n v="1"/>
    <n v="7"/>
    <x v="0"/>
    <x v="0"/>
  </r>
  <r>
    <n v="6303"/>
    <n v="107821470"/>
    <s v="Recovery"/>
    <n v="200"/>
    <s v="AHY"/>
    <s v="M"/>
    <n v="12"/>
    <n v="2011"/>
    <n v="2011"/>
    <n v="7"/>
    <x v="0"/>
    <s v="7B"/>
    <x v="9"/>
    <n v="1"/>
    <n v="7"/>
    <x v="0"/>
    <x v="0"/>
  </r>
  <r>
    <n v="6305"/>
    <n v="107821472"/>
    <s v="Recovery"/>
    <n v="200"/>
    <s v="AHY"/>
    <s v="F"/>
    <n v="1"/>
    <n v="2013"/>
    <n v="2012"/>
    <n v="8"/>
    <x v="0"/>
    <s v="8B"/>
    <x v="3"/>
    <n v="1"/>
    <n v="7"/>
    <x v="0"/>
    <x v="0"/>
  </r>
  <r>
    <n v="6306"/>
    <n v="107821473"/>
    <s v="Recovery"/>
    <n v="200"/>
    <s v="AHY"/>
    <s v="F"/>
    <n v="1"/>
    <n v="2011"/>
    <n v="2010"/>
    <n v="6"/>
    <x v="0"/>
    <s v="6B"/>
    <x v="2"/>
    <n v="1"/>
    <n v="7"/>
    <x v="0"/>
    <x v="0"/>
  </r>
  <r>
    <n v="6308"/>
    <n v="107821475"/>
    <s v="Recovery"/>
    <n v="200"/>
    <s v="AHY"/>
    <s v="M"/>
    <n v="1"/>
    <n v="2012"/>
    <n v="2011"/>
    <n v="7"/>
    <x v="0"/>
    <s v="7B"/>
    <x v="9"/>
    <n v="1"/>
    <n v="7"/>
    <x v="0"/>
    <x v="0"/>
  </r>
  <r>
    <n v="6310"/>
    <n v="107821477"/>
    <s v="Recovery"/>
    <n v="200"/>
    <s v="AHY"/>
    <s v="M"/>
    <n v="1"/>
    <n v="2011"/>
    <n v="2010"/>
    <n v="6"/>
    <x v="0"/>
    <s v="6B"/>
    <x v="2"/>
    <n v="1"/>
    <n v="7"/>
    <x v="0"/>
    <x v="0"/>
  </r>
  <r>
    <n v="6315"/>
    <n v="107821482"/>
    <s v="Recovery"/>
    <n v="200"/>
    <s v="AHY"/>
    <s v="M"/>
    <n v="12"/>
    <n v="2012"/>
    <n v="2012"/>
    <n v="8"/>
    <x v="0"/>
    <s v="8B"/>
    <x v="3"/>
    <n v="1"/>
    <n v="7"/>
    <x v="0"/>
    <x v="0"/>
  </r>
  <r>
    <n v="6317"/>
    <n v="107821484"/>
    <s v="Recovery"/>
    <n v="200"/>
    <s v="AHY"/>
    <s v="M"/>
    <n v="9"/>
    <n v="2010"/>
    <n v="2010"/>
    <n v="6"/>
    <x v="0"/>
    <s v="6B"/>
    <x v="2"/>
    <n v="1"/>
    <n v="7"/>
    <x v="0"/>
    <x v="0"/>
  </r>
  <r>
    <n v="6322"/>
    <n v="107821489"/>
    <s v="Recovery"/>
    <n v="200"/>
    <s v="AHY"/>
    <s v="F"/>
    <n v="2"/>
    <n v="2013"/>
    <n v="2012"/>
    <n v="8"/>
    <x v="0"/>
    <s v="8B"/>
    <x v="3"/>
    <n v="1"/>
    <n v="7"/>
    <x v="0"/>
    <x v="0"/>
  </r>
  <r>
    <n v="6329"/>
    <n v="107821496"/>
    <s v="Recovery"/>
    <n v="200"/>
    <s v="AHY"/>
    <s v="F"/>
    <n v="1"/>
    <n v="2014"/>
    <n v="2013"/>
    <n v="9"/>
    <x v="0"/>
    <s v="9B"/>
    <x v="4"/>
    <n v="1"/>
    <n v="7"/>
    <x v="0"/>
    <x v="0"/>
  </r>
  <r>
    <n v="6330"/>
    <n v="107821497"/>
    <s v="Recovery"/>
    <n v="200"/>
    <s v="AHY"/>
    <s v="F"/>
    <n v="1"/>
    <n v="2012"/>
    <n v="2011"/>
    <n v="7"/>
    <x v="0"/>
    <s v="7B"/>
    <x v="9"/>
    <n v="1"/>
    <n v="7"/>
    <x v="0"/>
    <x v="0"/>
  </r>
  <r>
    <n v="6332"/>
    <n v="107821499"/>
    <s v="Recovery"/>
    <n v="200"/>
    <s v="AHY"/>
    <s v="F"/>
    <n v="9"/>
    <n v="2015"/>
    <n v="2015"/>
    <n v="11"/>
    <x v="0"/>
    <s v="11B"/>
    <x v="14"/>
    <n v="1"/>
    <n v="7"/>
    <x v="0"/>
    <x v="0"/>
  </r>
  <r>
    <n v="6334"/>
    <n v="107821501"/>
    <s v="Recovery"/>
    <n v="200"/>
    <s v="AHY"/>
    <s v="F"/>
    <n v="1"/>
    <n v="2011"/>
    <n v="2010"/>
    <n v="6"/>
    <x v="0"/>
    <s v="6B"/>
    <x v="2"/>
    <n v="1"/>
    <n v="7"/>
    <x v="0"/>
    <x v="0"/>
  </r>
  <r>
    <n v="6336"/>
    <n v="107821503"/>
    <s v="Recovery"/>
    <n v="200"/>
    <s v="AHY"/>
    <s v="M"/>
    <n v="12"/>
    <n v="2012"/>
    <n v="2012"/>
    <n v="8"/>
    <x v="0"/>
    <s v="8B"/>
    <x v="3"/>
    <n v="1"/>
    <n v="7"/>
    <x v="0"/>
    <x v="0"/>
  </r>
  <r>
    <n v="6344"/>
    <n v="107821511"/>
    <s v="Recovery"/>
    <n v="200"/>
    <s v="AHY"/>
    <s v="F"/>
    <n v="9"/>
    <n v="2018"/>
    <n v="2018"/>
    <n v="14"/>
    <x v="0"/>
    <s v="14B"/>
    <x v="10"/>
    <n v="1"/>
    <n v="7"/>
    <x v="0"/>
    <x v="0"/>
  </r>
  <r>
    <n v="6348"/>
    <n v="107821515"/>
    <s v="Recovery"/>
    <n v="200"/>
    <s v="AHY"/>
    <s v="F"/>
    <n v="11"/>
    <n v="2013"/>
    <n v="2013"/>
    <n v="9"/>
    <x v="0"/>
    <s v="9B"/>
    <x v="4"/>
    <n v="1"/>
    <n v="7"/>
    <x v="0"/>
    <x v="0"/>
  </r>
  <r>
    <n v="6353"/>
    <n v="107821520"/>
    <s v="Recovery"/>
    <n v="200"/>
    <s v="AHY"/>
    <s v="F"/>
    <n v="9"/>
    <n v="2015"/>
    <n v="2015"/>
    <n v="11"/>
    <x v="0"/>
    <s v="11B"/>
    <x v="14"/>
    <n v="1"/>
    <n v="7"/>
    <x v="0"/>
    <x v="0"/>
  </r>
  <r>
    <n v="6355"/>
    <n v="107821522"/>
    <s v="Recovery"/>
    <n v="200"/>
    <s v="AHY"/>
    <s v="F"/>
    <n v="1"/>
    <n v="2012"/>
    <n v="2011"/>
    <n v="7"/>
    <x v="0"/>
    <s v="7B"/>
    <x v="9"/>
    <n v="1"/>
    <n v="7"/>
    <x v="0"/>
    <x v="0"/>
  </r>
  <r>
    <n v="6356"/>
    <n v="107821523"/>
    <s v="Recovery"/>
    <n v="200"/>
    <s v="AHY"/>
    <s v="F"/>
    <n v="9"/>
    <n v="2012"/>
    <n v="2012"/>
    <n v="8"/>
    <x v="0"/>
    <s v="8B"/>
    <x v="3"/>
    <n v="1"/>
    <n v="7"/>
    <x v="0"/>
    <x v="0"/>
  </r>
  <r>
    <n v="6358"/>
    <n v="107821525"/>
    <s v="Recovery"/>
    <n v="200"/>
    <s v="AHY"/>
    <s v="F"/>
    <n v="1"/>
    <n v="2012"/>
    <n v="2011"/>
    <n v="7"/>
    <x v="0"/>
    <s v="7B"/>
    <x v="9"/>
    <n v="1"/>
    <n v="7"/>
    <x v="0"/>
    <x v="0"/>
  </r>
  <r>
    <n v="6361"/>
    <n v="107821528"/>
    <s v="Recovery"/>
    <n v="200"/>
    <s v="AHY"/>
    <s v="M"/>
    <n v="9"/>
    <n v="2017"/>
    <n v="2017"/>
    <n v="13"/>
    <x v="0"/>
    <s v="13B"/>
    <x v="13"/>
    <n v="1"/>
    <n v="7"/>
    <x v="0"/>
    <x v="0"/>
  </r>
  <r>
    <n v="6362"/>
    <n v="107821529"/>
    <s v="Recovery"/>
    <n v="200"/>
    <s v="AHY"/>
    <s v="M"/>
    <n v="1"/>
    <n v="2012"/>
    <n v="2011"/>
    <n v="7"/>
    <x v="0"/>
    <s v="7B"/>
    <x v="9"/>
    <n v="1"/>
    <n v="7"/>
    <x v="0"/>
    <x v="0"/>
  </r>
  <r>
    <n v="6368"/>
    <n v="107821535"/>
    <s v="Recovery"/>
    <n v="200"/>
    <s v="AHY"/>
    <s v="F"/>
    <n v="9"/>
    <n v="2011"/>
    <n v="2011"/>
    <n v="7"/>
    <x v="0"/>
    <s v="7B"/>
    <x v="9"/>
    <n v="1"/>
    <n v="7"/>
    <x v="0"/>
    <x v="0"/>
  </r>
  <r>
    <n v="6369"/>
    <n v="107821536"/>
    <s v="Recovery"/>
    <n v="200"/>
    <s v="AHY"/>
    <s v="M"/>
    <n v="12"/>
    <n v="2012"/>
    <n v="2012"/>
    <n v="8"/>
    <x v="0"/>
    <s v="8B"/>
    <x v="3"/>
    <n v="1"/>
    <n v="7"/>
    <x v="0"/>
    <x v="0"/>
  </r>
  <r>
    <n v="6370"/>
    <n v="107821537"/>
    <s v="Recovery"/>
    <n v="200"/>
    <s v="AHY"/>
    <s v="M"/>
    <n v="1"/>
    <n v="2012"/>
    <n v="2011"/>
    <n v="7"/>
    <x v="0"/>
    <s v="7B"/>
    <x v="9"/>
    <n v="1"/>
    <n v="7"/>
    <x v="0"/>
    <x v="0"/>
  </r>
  <r>
    <n v="6371"/>
    <n v="107821538"/>
    <s v="Recovery"/>
    <n v="200"/>
    <s v="AHY"/>
    <s v="F"/>
    <n v="1"/>
    <n v="2012"/>
    <n v="2011"/>
    <n v="7"/>
    <x v="0"/>
    <s v="7B"/>
    <x v="9"/>
    <n v="1"/>
    <n v="7"/>
    <x v="0"/>
    <x v="0"/>
  </r>
  <r>
    <n v="6373"/>
    <n v="107821540"/>
    <s v="Recovery"/>
    <n v="200"/>
    <s v="AHY"/>
    <s v="M"/>
    <n v="9"/>
    <n v="2011"/>
    <n v="2011"/>
    <n v="7"/>
    <x v="0"/>
    <s v="7B"/>
    <x v="9"/>
    <n v="1"/>
    <n v="7"/>
    <x v="0"/>
    <x v="0"/>
  </r>
  <r>
    <n v="6376"/>
    <n v="107821543"/>
    <s v="Recovery"/>
    <n v="200"/>
    <s v="AHY"/>
    <s v="M"/>
    <n v="9"/>
    <n v="2012"/>
    <n v="2012"/>
    <n v="8"/>
    <x v="0"/>
    <s v="8B"/>
    <x v="3"/>
    <n v="1"/>
    <n v="7"/>
    <x v="0"/>
    <x v="0"/>
  </r>
  <r>
    <n v="6378"/>
    <n v="107821545"/>
    <s v="Recovery"/>
    <n v="200"/>
    <s v="AHY"/>
    <s v="F"/>
    <n v="1"/>
    <n v="2012"/>
    <n v="2011"/>
    <n v="7"/>
    <x v="0"/>
    <s v="7B"/>
    <x v="9"/>
    <n v="1"/>
    <n v="7"/>
    <x v="0"/>
    <x v="0"/>
  </r>
  <r>
    <n v="6379"/>
    <n v="107821546"/>
    <s v="Recovery"/>
    <n v="200"/>
    <s v="AHY"/>
    <s v="F"/>
    <n v="1"/>
    <n v="2013"/>
    <n v="2012"/>
    <n v="8"/>
    <x v="0"/>
    <s v="8B"/>
    <x v="3"/>
    <n v="1"/>
    <n v="7"/>
    <x v="0"/>
    <x v="0"/>
  </r>
  <r>
    <n v="6380"/>
    <n v="107821547"/>
    <s v="Recovery"/>
    <n v="200"/>
    <s v="AHY"/>
    <s v="F"/>
    <n v="1"/>
    <n v="2012"/>
    <n v="2011"/>
    <n v="7"/>
    <x v="0"/>
    <s v="7B"/>
    <x v="9"/>
    <n v="1"/>
    <n v="7"/>
    <x v="0"/>
    <x v="0"/>
  </r>
  <r>
    <n v="6381"/>
    <n v="107821548"/>
    <s v="Recovery"/>
    <n v="200"/>
    <s v="AHY"/>
    <s v="F"/>
    <n v="9"/>
    <n v="2011"/>
    <n v="2011"/>
    <n v="7"/>
    <x v="0"/>
    <s v="7B"/>
    <x v="9"/>
    <n v="1"/>
    <n v="45"/>
    <x v="1"/>
    <x v="1"/>
  </r>
  <r>
    <n v="6382"/>
    <n v="107821549"/>
    <s v="Recovery"/>
    <n v="200"/>
    <s v="AHY"/>
    <s v="F"/>
    <n v="1"/>
    <n v="2014"/>
    <n v="2013"/>
    <n v="9"/>
    <x v="0"/>
    <s v="9B"/>
    <x v="4"/>
    <n v="1"/>
    <n v="7"/>
    <x v="0"/>
    <x v="0"/>
  </r>
  <r>
    <n v="6383"/>
    <n v="107821550"/>
    <s v="Recovery"/>
    <n v="200"/>
    <s v="AHY"/>
    <s v="F"/>
    <n v="9"/>
    <n v="2013"/>
    <n v="2013"/>
    <n v="9"/>
    <x v="0"/>
    <s v="9B"/>
    <x v="4"/>
    <n v="1"/>
    <n v="7"/>
    <x v="0"/>
    <x v="0"/>
  </r>
  <r>
    <n v="6384"/>
    <n v="107821551"/>
    <s v="Recovery"/>
    <n v="200"/>
    <s v="AHY"/>
    <s v="F"/>
    <n v="12"/>
    <n v="2011"/>
    <n v="2011"/>
    <n v="7"/>
    <x v="0"/>
    <s v="7B"/>
    <x v="9"/>
    <n v="1"/>
    <n v="7"/>
    <x v="0"/>
    <x v="0"/>
  </r>
  <r>
    <n v="6386"/>
    <n v="107821553"/>
    <s v="Recovery"/>
    <n v="200"/>
    <s v="AHY"/>
    <s v="M"/>
    <n v="9"/>
    <n v="2011"/>
    <n v="2011"/>
    <n v="7"/>
    <x v="0"/>
    <s v="7B"/>
    <x v="9"/>
    <n v="1"/>
    <n v="7"/>
    <x v="0"/>
    <x v="0"/>
  </r>
  <r>
    <n v="6388"/>
    <n v="107821555"/>
    <s v="Recovery"/>
    <n v="200"/>
    <s v="AHY"/>
    <s v="M"/>
    <n v="9"/>
    <n v="2012"/>
    <n v="2012"/>
    <n v="8"/>
    <x v="0"/>
    <s v="8B"/>
    <x v="3"/>
    <n v="1"/>
    <n v="7"/>
    <x v="0"/>
    <x v="0"/>
  </r>
  <r>
    <n v="6390"/>
    <n v="107821557"/>
    <s v="Recovery"/>
    <n v="200"/>
    <s v="AHY"/>
    <s v="M"/>
    <n v="9"/>
    <n v="2010"/>
    <n v="2010"/>
    <n v="6"/>
    <x v="0"/>
    <s v="6B"/>
    <x v="2"/>
    <n v="1"/>
    <n v="7"/>
    <x v="0"/>
    <x v="0"/>
  </r>
  <r>
    <n v="6391"/>
    <n v="107821558"/>
    <s v="Recovery"/>
    <n v="200"/>
    <s v="AHY"/>
    <s v="F"/>
    <n v="12"/>
    <n v="2012"/>
    <n v="2012"/>
    <n v="8"/>
    <x v="0"/>
    <s v="8B"/>
    <x v="3"/>
    <n v="1"/>
    <n v="7"/>
    <x v="0"/>
    <x v="0"/>
  </r>
  <r>
    <n v="6392"/>
    <n v="107821559"/>
    <s v="Recovery"/>
    <n v="200"/>
    <s v="AHY"/>
    <s v="M"/>
    <n v="9"/>
    <n v="2012"/>
    <n v="2012"/>
    <n v="8"/>
    <x v="0"/>
    <s v="8B"/>
    <x v="3"/>
    <n v="1"/>
    <n v="7"/>
    <x v="0"/>
    <x v="0"/>
  </r>
  <r>
    <n v="6395"/>
    <n v="107821562"/>
    <s v="Recovery"/>
    <n v="200"/>
    <s v="AHY"/>
    <s v="F"/>
    <n v="9"/>
    <n v="2010"/>
    <n v="2010"/>
    <n v="6"/>
    <x v="0"/>
    <s v="6B"/>
    <x v="2"/>
    <n v="1"/>
    <n v="7"/>
    <x v="0"/>
    <x v="0"/>
  </r>
  <r>
    <n v="6396"/>
    <n v="107821563"/>
    <s v="Recovery"/>
    <n v="200"/>
    <s v="AHY"/>
    <s v="M"/>
    <n v="9"/>
    <n v="2016"/>
    <n v="2016"/>
    <n v="12"/>
    <x v="0"/>
    <s v="12B"/>
    <x v="12"/>
    <n v="1"/>
    <n v="7"/>
    <x v="0"/>
    <x v="0"/>
  </r>
  <r>
    <n v="6398"/>
    <n v="107821565"/>
    <s v="Recovery"/>
    <n v="200"/>
    <s v="AHY"/>
    <s v="M"/>
    <n v="9"/>
    <n v="2010"/>
    <n v="2010"/>
    <n v="6"/>
    <x v="0"/>
    <s v="6B"/>
    <x v="2"/>
    <n v="1"/>
    <n v="7"/>
    <x v="0"/>
    <x v="0"/>
  </r>
  <r>
    <n v="6400"/>
    <n v="107821567"/>
    <s v="Recovery"/>
    <n v="200"/>
    <s v="AHY"/>
    <s v="M"/>
    <n v="1"/>
    <n v="2015"/>
    <n v="2014"/>
    <n v="10"/>
    <x v="0"/>
    <s v="10B"/>
    <x v="7"/>
    <n v="1"/>
    <n v="7"/>
    <x v="0"/>
    <x v="0"/>
  </r>
  <r>
    <n v="6403"/>
    <n v="107821570"/>
    <s v="Recovery"/>
    <n v="200"/>
    <s v="AHY"/>
    <s v="M"/>
    <n v="9"/>
    <n v="2011"/>
    <n v="2011"/>
    <n v="7"/>
    <x v="0"/>
    <s v="7B"/>
    <x v="9"/>
    <n v="1"/>
    <n v="7"/>
    <x v="0"/>
    <x v="0"/>
  </r>
  <r>
    <n v="6405"/>
    <n v="107821572"/>
    <s v="Recovery"/>
    <n v="200"/>
    <s v="AHY"/>
    <s v="F"/>
    <n v="1"/>
    <n v="2012"/>
    <n v="2011"/>
    <n v="7"/>
    <x v="0"/>
    <s v="7B"/>
    <x v="9"/>
    <n v="1"/>
    <n v="7"/>
    <x v="0"/>
    <x v="0"/>
  </r>
  <r>
    <n v="6407"/>
    <n v="107821574"/>
    <s v="Recovery"/>
    <n v="200"/>
    <s v="AHY"/>
    <s v="M"/>
    <n v="9"/>
    <n v="2013"/>
    <n v="2013"/>
    <n v="9"/>
    <x v="0"/>
    <s v="9B"/>
    <x v="4"/>
    <n v="1"/>
    <n v="7"/>
    <x v="0"/>
    <x v="0"/>
  </r>
  <r>
    <n v="6408"/>
    <n v="107821575"/>
    <s v="Recovery"/>
    <n v="200"/>
    <s v="AHY"/>
    <s v="F"/>
    <n v="11"/>
    <n v="2014"/>
    <n v="2014"/>
    <n v="10"/>
    <x v="0"/>
    <s v="10B"/>
    <x v="7"/>
    <n v="1"/>
    <n v="7"/>
    <x v="0"/>
    <x v="0"/>
  </r>
  <r>
    <n v="6414"/>
    <n v="107821581"/>
    <s v="Recovery"/>
    <n v="200"/>
    <s v="AHY"/>
    <s v="F"/>
    <n v="1"/>
    <n v="2015"/>
    <n v="2014"/>
    <n v="10"/>
    <x v="0"/>
    <s v="10B"/>
    <x v="7"/>
    <n v="1"/>
    <n v="7"/>
    <x v="0"/>
    <x v="0"/>
  </r>
  <r>
    <n v="6415"/>
    <n v="107821582"/>
    <s v="Recovery"/>
    <n v="200"/>
    <s v="AHY"/>
    <s v="F"/>
    <n v="1"/>
    <n v="2012"/>
    <n v="2011"/>
    <n v="7"/>
    <x v="0"/>
    <s v="7B"/>
    <x v="9"/>
    <n v="1"/>
    <n v="7"/>
    <x v="0"/>
    <x v="0"/>
  </r>
  <r>
    <n v="6418"/>
    <n v="107821585"/>
    <s v="Recovery"/>
    <n v="200"/>
    <s v="AHY"/>
    <s v="F"/>
    <n v="9"/>
    <n v="2010"/>
    <n v="2010"/>
    <n v="6"/>
    <x v="0"/>
    <s v="6B"/>
    <x v="2"/>
    <n v="1"/>
    <n v="7"/>
    <x v="0"/>
    <x v="0"/>
  </r>
  <r>
    <n v="6419"/>
    <n v="107821586"/>
    <s v="Recovery"/>
    <n v="200"/>
    <s v="AHY"/>
    <s v="F"/>
    <n v="11"/>
    <n v="2010"/>
    <n v="2010"/>
    <n v="6"/>
    <x v="0"/>
    <s v="6B"/>
    <x v="2"/>
    <n v="1"/>
    <n v="7"/>
    <x v="0"/>
    <x v="0"/>
  </r>
  <r>
    <n v="6429"/>
    <n v="107821596"/>
    <s v="Recovery"/>
    <n v="200"/>
    <s v="AHY"/>
    <s v="M"/>
    <n v="1"/>
    <n v="2015"/>
    <n v="2014"/>
    <n v="10"/>
    <x v="0"/>
    <s v="10B"/>
    <x v="7"/>
    <n v="1"/>
    <n v="7"/>
    <x v="0"/>
    <x v="0"/>
  </r>
  <r>
    <n v="6431"/>
    <n v="107821598"/>
    <s v="Recovery"/>
    <n v="200"/>
    <s v="AHY"/>
    <s v="F"/>
    <n v="11"/>
    <n v="2010"/>
    <n v="2010"/>
    <n v="6"/>
    <x v="0"/>
    <s v="6B"/>
    <x v="2"/>
    <n v="1"/>
    <n v="7"/>
    <x v="0"/>
    <x v="0"/>
  </r>
  <r>
    <n v="6432"/>
    <n v="107821599"/>
    <s v="Recovery"/>
    <n v="200"/>
    <s v="AHY"/>
    <s v="M"/>
    <n v="1"/>
    <n v="2012"/>
    <n v="2011"/>
    <n v="7"/>
    <x v="0"/>
    <s v="7B"/>
    <x v="9"/>
    <n v="1"/>
    <n v="7"/>
    <x v="0"/>
    <x v="0"/>
  </r>
  <r>
    <n v="6433"/>
    <n v="107821600"/>
    <s v="Recovery"/>
    <n v="200"/>
    <s v="AHY"/>
    <s v="F"/>
    <n v="1"/>
    <n v="2013"/>
    <n v="2012"/>
    <n v="8"/>
    <x v="0"/>
    <s v="8B"/>
    <x v="3"/>
    <n v="1"/>
    <n v="7"/>
    <x v="0"/>
    <x v="0"/>
  </r>
  <r>
    <n v="6437"/>
    <n v="107821604"/>
    <s v="Recovery"/>
    <n v="200"/>
    <s v="AHY"/>
    <s v="F"/>
    <n v="1"/>
    <n v="2012"/>
    <n v="2011"/>
    <n v="7"/>
    <x v="0"/>
    <s v="7B"/>
    <x v="9"/>
    <n v="1"/>
    <n v="7"/>
    <x v="0"/>
    <x v="0"/>
  </r>
  <r>
    <n v="6438"/>
    <n v="107821605"/>
    <s v="Recovery"/>
    <n v="200"/>
    <s v="AHY"/>
    <s v="M"/>
    <n v="9"/>
    <n v="2010"/>
    <n v="2010"/>
    <n v="6"/>
    <x v="0"/>
    <s v="6B"/>
    <x v="2"/>
    <n v="1"/>
    <n v="7"/>
    <x v="0"/>
    <x v="0"/>
  </r>
  <r>
    <n v="6439"/>
    <n v="107821606"/>
    <s v="Recovery"/>
    <n v="200"/>
    <s v="AHY"/>
    <s v="M"/>
    <n v="1"/>
    <n v="2011"/>
    <n v="2010"/>
    <n v="6"/>
    <x v="0"/>
    <s v="6B"/>
    <x v="2"/>
    <n v="1"/>
    <n v="7"/>
    <x v="0"/>
    <x v="0"/>
  </r>
  <r>
    <n v="6440"/>
    <n v="107821607"/>
    <s v="Recovery"/>
    <n v="200"/>
    <s v="AHY"/>
    <s v="F"/>
    <n v="9"/>
    <n v="2018"/>
    <n v="2018"/>
    <n v="14"/>
    <x v="0"/>
    <s v="14B"/>
    <x v="10"/>
    <n v="1"/>
    <n v="7"/>
    <x v="0"/>
    <x v="0"/>
  </r>
  <r>
    <n v="6443"/>
    <n v="107821610"/>
    <s v="Recovery"/>
    <n v="200"/>
    <s v="AHY"/>
    <s v="F"/>
    <n v="1"/>
    <n v="2013"/>
    <n v="2012"/>
    <n v="8"/>
    <x v="0"/>
    <s v="8B"/>
    <x v="3"/>
    <n v="1"/>
    <n v="7"/>
    <x v="0"/>
    <x v="0"/>
  </r>
  <r>
    <n v="6449"/>
    <n v="107821616"/>
    <s v="Recovery"/>
    <n v="200"/>
    <s v="AHY"/>
    <s v="M"/>
    <n v="9"/>
    <n v="2012"/>
    <n v="2012"/>
    <n v="8"/>
    <x v="0"/>
    <s v="8B"/>
    <x v="3"/>
    <n v="1"/>
    <n v="7"/>
    <x v="0"/>
    <x v="0"/>
  </r>
  <r>
    <n v="6450"/>
    <n v="107821617"/>
    <s v="Recovery"/>
    <n v="200"/>
    <s v="AHY"/>
    <s v="F"/>
    <n v="9"/>
    <n v="2013"/>
    <n v="2013"/>
    <n v="9"/>
    <x v="0"/>
    <s v="9B"/>
    <x v="4"/>
    <n v="1"/>
    <n v="7"/>
    <x v="0"/>
    <x v="0"/>
  </r>
  <r>
    <n v="6455"/>
    <n v="107821622"/>
    <s v="Recovery"/>
    <n v="200"/>
    <s v="AHY"/>
    <s v="F"/>
    <n v="9"/>
    <n v="2010"/>
    <n v="2010"/>
    <n v="6"/>
    <x v="0"/>
    <s v="6B"/>
    <x v="2"/>
    <n v="1"/>
    <n v="7"/>
    <x v="0"/>
    <x v="0"/>
  </r>
  <r>
    <n v="6457"/>
    <n v="107821624"/>
    <s v="Recovery"/>
    <n v="200"/>
    <s v="AHY"/>
    <s v="F"/>
    <n v="1"/>
    <n v="2012"/>
    <n v="2011"/>
    <n v="7"/>
    <x v="0"/>
    <s v="7B"/>
    <x v="9"/>
    <n v="1"/>
    <n v="7"/>
    <x v="0"/>
    <x v="0"/>
  </r>
  <r>
    <n v="6461"/>
    <n v="107821628"/>
    <s v="Recovery"/>
    <n v="200"/>
    <s v="AHY"/>
    <s v="F"/>
    <n v="9"/>
    <n v="2010"/>
    <n v="2010"/>
    <n v="6"/>
    <x v="0"/>
    <s v="6B"/>
    <x v="2"/>
    <n v="1"/>
    <n v="7"/>
    <x v="0"/>
    <x v="0"/>
  </r>
  <r>
    <n v="6464"/>
    <n v="107821631"/>
    <s v="Recovery"/>
    <n v="200"/>
    <s v="AHY"/>
    <s v="F"/>
    <n v="9"/>
    <n v="2013"/>
    <n v="2013"/>
    <n v="9"/>
    <x v="0"/>
    <s v="9B"/>
    <x v="4"/>
    <n v="1"/>
    <n v="7"/>
    <x v="0"/>
    <x v="0"/>
  </r>
  <r>
    <n v="6465"/>
    <n v="107821632"/>
    <s v="Recovery"/>
    <n v="200"/>
    <s v="AHY"/>
    <s v="M"/>
    <n v="9"/>
    <n v="2014"/>
    <n v="2014"/>
    <n v="10"/>
    <x v="0"/>
    <s v="10B"/>
    <x v="7"/>
    <n v="1"/>
    <n v="7"/>
    <x v="0"/>
    <x v="0"/>
  </r>
  <r>
    <n v="6466"/>
    <n v="107821633"/>
    <s v="Recovery"/>
    <n v="200"/>
    <s v="AHY"/>
    <s v="F"/>
    <n v="9"/>
    <n v="2016"/>
    <n v="2016"/>
    <n v="12"/>
    <x v="0"/>
    <s v="12B"/>
    <x v="12"/>
    <n v="1"/>
    <n v="7"/>
    <x v="0"/>
    <x v="0"/>
  </r>
  <r>
    <n v="6468"/>
    <n v="107821635"/>
    <s v="Recovery"/>
    <n v="200"/>
    <s v="AHY"/>
    <s v="M"/>
    <n v="1"/>
    <n v="2012"/>
    <n v="2011"/>
    <n v="7"/>
    <x v="0"/>
    <s v="7B"/>
    <x v="9"/>
    <n v="1"/>
    <n v="7"/>
    <x v="0"/>
    <x v="0"/>
  </r>
  <r>
    <n v="6474"/>
    <n v="107821641"/>
    <s v="Recovery"/>
    <n v="200"/>
    <s v="AHY"/>
    <s v="F"/>
    <n v="9"/>
    <n v="2013"/>
    <n v="2013"/>
    <n v="9"/>
    <x v="0"/>
    <s v="9B"/>
    <x v="4"/>
    <n v="1"/>
    <n v="7"/>
    <x v="0"/>
    <x v="0"/>
  </r>
  <r>
    <n v="6475"/>
    <n v="107821642"/>
    <s v="Recovery"/>
    <n v="200"/>
    <s v="AHY"/>
    <s v="M"/>
    <n v="1"/>
    <n v="2012"/>
    <n v="2011"/>
    <n v="7"/>
    <x v="0"/>
    <s v="7B"/>
    <x v="9"/>
    <n v="1"/>
    <n v="7"/>
    <x v="0"/>
    <x v="0"/>
  </r>
  <r>
    <n v="6477"/>
    <n v="107821644"/>
    <s v="Recovery"/>
    <n v="200"/>
    <s v="AHY"/>
    <s v="F"/>
    <n v="12"/>
    <n v="2020"/>
    <n v="2020"/>
    <n v="16"/>
    <x v="0"/>
    <s v="16B"/>
    <x v="15"/>
    <n v="1"/>
    <n v="7"/>
    <x v="0"/>
    <x v="0"/>
  </r>
  <r>
    <n v="6478"/>
    <n v="107821645"/>
    <s v="Recovery"/>
    <n v="200"/>
    <s v="AHY"/>
    <s v="F"/>
    <n v="9"/>
    <n v="2015"/>
    <n v="2015"/>
    <n v="11"/>
    <x v="0"/>
    <s v="11B"/>
    <x v="14"/>
    <n v="1"/>
    <n v="7"/>
    <x v="0"/>
    <x v="0"/>
  </r>
  <r>
    <n v="6480"/>
    <n v="107821647"/>
    <s v="Recovery"/>
    <n v="200"/>
    <s v="AHY"/>
    <s v="F"/>
    <n v="1"/>
    <n v="2012"/>
    <n v="2011"/>
    <n v="7"/>
    <x v="0"/>
    <s v="7B"/>
    <x v="9"/>
    <n v="1"/>
    <n v="7"/>
    <x v="0"/>
    <x v="0"/>
  </r>
  <r>
    <n v="6482"/>
    <n v="107821649"/>
    <s v="Recovery"/>
    <n v="200"/>
    <s v="AHY"/>
    <s v="F"/>
    <n v="9"/>
    <n v="2011"/>
    <n v="2011"/>
    <n v="7"/>
    <x v="0"/>
    <s v="7B"/>
    <x v="9"/>
    <n v="1"/>
    <n v="7"/>
    <x v="0"/>
    <x v="0"/>
  </r>
  <r>
    <n v="6485"/>
    <n v="107821652"/>
    <s v="Recovery"/>
    <n v="200"/>
    <s v="AHY"/>
    <s v="M"/>
    <n v="9"/>
    <n v="2011"/>
    <n v="2011"/>
    <n v="7"/>
    <x v="0"/>
    <s v="7B"/>
    <x v="9"/>
    <n v="1"/>
    <n v="7"/>
    <x v="0"/>
    <x v="0"/>
  </r>
  <r>
    <n v="6489"/>
    <n v="107821656"/>
    <s v="Recovery"/>
    <n v="200"/>
    <s v="AHY"/>
    <s v="M"/>
    <n v="9"/>
    <n v="2011"/>
    <n v="2011"/>
    <n v="7"/>
    <x v="0"/>
    <s v="7B"/>
    <x v="9"/>
    <n v="1"/>
    <n v="7"/>
    <x v="0"/>
    <x v="0"/>
  </r>
  <r>
    <n v="6490"/>
    <n v="107821657"/>
    <s v="Recovery"/>
    <n v="200"/>
    <s v="AHY"/>
    <s v="M"/>
    <n v="9"/>
    <n v="2011"/>
    <n v="2011"/>
    <n v="7"/>
    <x v="0"/>
    <s v="7B"/>
    <x v="9"/>
    <n v="1"/>
    <n v="7"/>
    <x v="0"/>
    <x v="0"/>
  </r>
  <r>
    <n v="6493"/>
    <n v="107821660"/>
    <s v="Recovery"/>
    <n v="200"/>
    <s v="AHY"/>
    <s v="F"/>
    <n v="9"/>
    <n v="2013"/>
    <n v="2013"/>
    <n v="9"/>
    <x v="0"/>
    <s v="9B"/>
    <x v="4"/>
    <n v="1"/>
    <n v="7"/>
    <x v="0"/>
    <x v="0"/>
  </r>
  <r>
    <n v="6494"/>
    <n v="107821661"/>
    <s v="Recovery"/>
    <n v="200"/>
    <s v="AHY"/>
    <s v="M"/>
    <n v="1"/>
    <n v="2014"/>
    <n v="2013"/>
    <n v="9"/>
    <x v="0"/>
    <s v="9B"/>
    <x v="4"/>
    <n v="1"/>
    <n v="7"/>
    <x v="0"/>
    <x v="0"/>
  </r>
  <r>
    <n v="6495"/>
    <n v="107821662"/>
    <s v="Recovery"/>
    <n v="200"/>
    <s v="AHY"/>
    <s v="M"/>
    <n v="9"/>
    <n v="2011"/>
    <n v="2011"/>
    <n v="7"/>
    <x v="0"/>
    <s v="7B"/>
    <x v="9"/>
    <n v="1"/>
    <n v="81"/>
    <x v="17"/>
    <x v="1"/>
  </r>
  <r>
    <n v="6502"/>
    <n v="107821669"/>
    <s v="Recovery"/>
    <n v="200"/>
    <s v="AHY"/>
    <s v="M"/>
    <n v="9"/>
    <n v="2011"/>
    <n v="2011"/>
    <n v="7"/>
    <x v="0"/>
    <s v="7B"/>
    <x v="9"/>
    <n v="1"/>
    <n v="7"/>
    <x v="0"/>
    <x v="0"/>
  </r>
  <r>
    <n v="6503"/>
    <n v="107821670"/>
    <s v="Recovery"/>
    <n v="200"/>
    <s v="AHY"/>
    <s v="F"/>
    <n v="11"/>
    <n v="2012"/>
    <n v="2012"/>
    <n v="8"/>
    <x v="0"/>
    <s v="8B"/>
    <x v="3"/>
    <n v="1"/>
    <n v="7"/>
    <x v="0"/>
    <x v="0"/>
  </r>
  <r>
    <n v="6504"/>
    <n v="107821671"/>
    <s v="Recovery"/>
    <n v="200"/>
    <s v="AHY"/>
    <s v="F"/>
    <n v="8"/>
    <n v="2012"/>
    <n v="2012"/>
    <n v="8"/>
    <x v="0"/>
    <s v="8B"/>
    <x v="3"/>
    <n v="1"/>
    <n v="81"/>
    <x v="17"/>
    <x v="1"/>
  </r>
  <r>
    <n v="6507"/>
    <n v="107821674"/>
    <s v="Recovery"/>
    <n v="200"/>
    <s v="AHY"/>
    <s v="M"/>
    <n v="1"/>
    <n v="2011"/>
    <n v="2010"/>
    <n v="6"/>
    <x v="0"/>
    <s v="6B"/>
    <x v="2"/>
    <n v="1"/>
    <n v="7"/>
    <x v="0"/>
    <x v="0"/>
  </r>
  <r>
    <n v="6512"/>
    <n v="107821679"/>
    <s v="Recovery"/>
    <n v="200"/>
    <s v="AHY"/>
    <s v="M"/>
    <n v="10"/>
    <n v="2018"/>
    <n v="2018"/>
    <n v="14"/>
    <x v="0"/>
    <s v="14B"/>
    <x v="10"/>
    <n v="1"/>
    <n v="7"/>
    <x v="0"/>
    <x v="0"/>
  </r>
  <r>
    <n v="6514"/>
    <n v="107821681"/>
    <s v="Recovery"/>
    <n v="200"/>
    <s v="AHY"/>
    <s v="M"/>
    <n v="12"/>
    <n v="2011"/>
    <n v="2011"/>
    <n v="7"/>
    <x v="0"/>
    <s v="7B"/>
    <x v="9"/>
    <n v="1"/>
    <n v="7"/>
    <x v="0"/>
    <x v="0"/>
  </r>
  <r>
    <n v="6516"/>
    <n v="107821683"/>
    <s v="Recovery"/>
    <n v="200"/>
    <s v="AHY"/>
    <s v="F"/>
    <n v="1"/>
    <n v="2011"/>
    <n v="2010"/>
    <n v="6"/>
    <x v="0"/>
    <s v="6B"/>
    <x v="2"/>
    <n v="1"/>
    <n v="7"/>
    <x v="0"/>
    <x v="0"/>
  </r>
  <r>
    <n v="6524"/>
    <n v="107821691"/>
    <s v="Recovery"/>
    <n v="200"/>
    <s v="AHY"/>
    <s v="M"/>
    <n v="1"/>
    <n v="2013"/>
    <n v="2012"/>
    <n v="8"/>
    <x v="0"/>
    <s v="8B"/>
    <x v="3"/>
    <n v="1"/>
    <n v="7"/>
    <x v="0"/>
    <x v="0"/>
  </r>
  <r>
    <n v="6525"/>
    <n v="107821692"/>
    <s v="Recovery"/>
    <n v="200"/>
    <s v="AHY"/>
    <s v="F"/>
    <n v="12"/>
    <n v="2014"/>
    <n v="2014"/>
    <n v="10"/>
    <x v="0"/>
    <s v="10B"/>
    <x v="7"/>
    <n v="1"/>
    <n v="7"/>
    <x v="0"/>
    <x v="0"/>
  </r>
  <r>
    <n v="6526"/>
    <n v="107821693"/>
    <s v="Recovery"/>
    <n v="200"/>
    <s v="AHY"/>
    <s v="F"/>
    <n v="11"/>
    <n v="2011"/>
    <n v="2011"/>
    <n v="7"/>
    <x v="0"/>
    <s v="7B"/>
    <x v="9"/>
    <n v="1"/>
    <n v="7"/>
    <x v="0"/>
    <x v="0"/>
  </r>
  <r>
    <n v="6533"/>
    <n v="107821700"/>
    <s v="Recovery"/>
    <n v="200"/>
    <s v="AHY"/>
    <s v="F"/>
    <n v="1"/>
    <n v="2011"/>
    <n v="2010"/>
    <n v="6"/>
    <x v="0"/>
    <s v="6B"/>
    <x v="2"/>
    <n v="1"/>
    <n v="7"/>
    <x v="0"/>
    <x v="0"/>
  </r>
  <r>
    <n v="6535"/>
    <n v="107821702"/>
    <s v="Recovery"/>
    <n v="200"/>
    <s v="AHY"/>
    <s v="M"/>
    <n v="1"/>
    <n v="2012"/>
    <n v="2011"/>
    <n v="7"/>
    <x v="0"/>
    <s v="7B"/>
    <x v="9"/>
    <n v="1"/>
    <n v="7"/>
    <x v="0"/>
    <x v="0"/>
  </r>
  <r>
    <n v="6537"/>
    <n v="107821704"/>
    <s v="Recovery"/>
    <n v="200"/>
    <s v="AHY"/>
    <s v="F"/>
    <n v="8"/>
    <n v="2011"/>
    <n v="2011"/>
    <n v="7"/>
    <x v="0"/>
    <s v="7B"/>
    <x v="9"/>
    <n v="1"/>
    <n v="64"/>
    <x v="4"/>
    <x v="1"/>
  </r>
  <r>
    <n v="6542"/>
    <n v="107821709"/>
    <s v="Recovery"/>
    <n v="200"/>
    <s v="AHY"/>
    <s v="F"/>
    <n v="1"/>
    <n v="2017"/>
    <n v="2016"/>
    <n v="12"/>
    <x v="0"/>
    <s v="12B"/>
    <x v="12"/>
    <n v="1"/>
    <n v="7"/>
    <x v="0"/>
    <x v="0"/>
  </r>
  <r>
    <n v="6547"/>
    <n v="107821714"/>
    <s v="Recovery"/>
    <n v="200"/>
    <s v="AHY"/>
    <s v="M"/>
    <n v="9"/>
    <n v="2013"/>
    <n v="2013"/>
    <n v="9"/>
    <x v="0"/>
    <s v="9B"/>
    <x v="4"/>
    <n v="1"/>
    <n v="7"/>
    <x v="0"/>
    <x v="0"/>
  </r>
  <r>
    <n v="6551"/>
    <n v="107821718"/>
    <s v="Recovery"/>
    <n v="200"/>
    <s v="AHY"/>
    <s v="F"/>
    <n v="1"/>
    <n v="2018"/>
    <n v="2017"/>
    <n v="13"/>
    <x v="0"/>
    <s v="13B"/>
    <x v="13"/>
    <n v="1"/>
    <n v="7"/>
    <x v="0"/>
    <x v="0"/>
  </r>
  <r>
    <n v="6554"/>
    <n v="107821721"/>
    <s v="Recovery"/>
    <n v="200"/>
    <s v="AHY"/>
    <s v="F"/>
    <n v="9"/>
    <n v="2017"/>
    <n v="2017"/>
    <n v="13"/>
    <x v="0"/>
    <s v="13B"/>
    <x v="13"/>
    <n v="1"/>
    <n v="7"/>
    <x v="0"/>
    <x v="0"/>
  </r>
  <r>
    <n v="6555"/>
    <n v="107821722"/>
    <s v="Recovery"/>
    <n v="200"/>
    <s v="AHY"/>
    <s v="F"/>
    <n v="1"/>
    <n v="2013"/>
    <n v="2012"/>
    <n v="8"/>
    <x v="0"/>
    <s v="8B"/>
    <x v="3"/>
    <n v="1"/>
    <n v="7"/>
    <x v="0"/>
    <x v="0"/>
  </r>
  <r>
    <n v="6556"/>
    <n v="107821723"/>
    <s v="Recovery"/>
    <n v="200"/>
    <s v="AHY"/>
    <s v="M"/>
    <n v="12"/>
    <n v="2014"/>
    <n v="2014"/>
    <n v="10"/>
    <x v="0"/>
    <s v="10B"/>
    <x v="7"/>
    <n v="1"/>
    <n v="7"/>
    <x v="0"/>
    <x v="0"/>
  </r>
  <r>
    <n v="6559"/>
    <n v="107821726"/>
    <s v="Recovery"/>
    <n v="200"/>
    <s v="AHY"/>
    <s v="F"/>
    <n v="9"/>
    <n v="2019"/>
    <n v="2019"/>
    <n v="15"/>
    <x v="0"/>
    <s v="15B"/>
    <x v="11"/>
    <n v="1"/>
    <n v="7"/>
    <x v="0"/>
    <x v="0"/>
  </r>
  <r>
    <n v="6567"/>
    <n v="107821734"/>
    <s v="Recovery"/>
    <n v="200"/>
    <s v="AHY"/>
    <s v="M"/>
    <n v="1"/>
    <n v="2012"/>
    <n v="2011"/>
    <n v="7"/>
    <x v="0"/>
    <s v="7B"/>
    <x v="9"/>
    <n v="1"/>
    <n v="7"/>
    <x v="0"/>
    <x v="0"/>
  </r>
  <r>
    <n v="6570"/>
    <n v="107821737"/>
    <s v="Recovery"/>
    <n v="200"/>
    <s v="AHY"/>
    <s v="F"/>
    <n v="1"/>
    <n v="2011"/>
    <n v="2010"/>
    <n v="6"/>
    <x v="0"/>
    <s v="6B"/>
    <x v="2"/>
    <n v="1"/>
    <n v="7"/>
    <x v="0"/>
    <x v="0"/>
  </r>
  <r>
    <n v="6573"/>
    <n v="107821740"/>
    <s v="Recovery"/>
    <n v="200"/>
    <s v="AHY"/>
    <s v="F"/>
    <n v="1"/>
    <n v="2011"/>
    <n v="2010"/>
    <n v="6"/>
    <x v="0"/>
    <s v="6B"/>
    <x v="2"/>
    <n v="1"/>
    <n v="7"/>
    <x v="0"/>
    <x v="0"/>
  </r>
  <r>
    <n v="6577"/>
    <n v="107821744"/>
    <s v="Recovery"/>
    <n v="200"/>
    <s v="AHY"/>
    <s v="F"/>
    <n v="1"/>
    <n v="2013"/>
    <n v="2012"/>
    <n v="8"/>
    <x v="0"/>
    <s v="8B"/>
    <x v="3"/>
    <n v="1"/>
    <n v="7"/>
    <x v="0"/>
    <x v="0"/>
  </r>
  <r>
    <n v="6580"/>
    <n v="107821747"/>
    <s v="Recovery"/>
    <n v="200"/>
    <s v="AHY"/>
    <s v="F"/>
    <n v="12"/>
    <n v="2012"/>
    <n v="2012"/>
    <n v="8"/>
    <x v="0"/>
    <s v="8B"/>
    <x v="3"/>
    <n v="1"/>
    <n v="7"/>
    <x v="0"/>
    <x v="0"/>
  </r>
  <r>
    <n v="6581"/>
    <n v="107821748"/>
    <s v="Recovery"/>
    <n v="200"/>
    <s v="AHY"/>
    <s v="M"/>
    <n v="1"/>
    <n v="2011"/>
    <n v="2010"/>
    <n v="6"/>
    <x v="0"/>
    <s v="6B"/>
    <x v="2"/>
    <n v="1"/>
    <n v="7"/>
    <x v="0"/>
    <x v="0"/>
  </r>
  <r>
    <n v="6582"/>
    <n v="107821749"/>
    <s v="Recovery"/>
    <n v="200"/>
    <s v="AHY"/>
    <s v="M"/>
    <n v="9"/>
    <n v="2012"/>
    <n v="2012"/>
    <n v="8"/>
    <x v="0"/>
    <s v="8B"/>
    <x v="3"/>
    <n v="1"/>
    <n v="7"/>
    <x v="0"/>
    <x v="0"/>
  </r>
  <r>
    <n v="6583"/>
    <n v="107821750"/>
    <s v="Recovery"/>
    <n v="200"/>
    <s v="AHY"/>
    <s v="M"/>
    <n v="1"/>
    <n v="2011"/>
    <n v="2010"/>
    <n v="6"/>
    <x v="0"/>
    <s v="6B"/>
    <x v="2"/>
    <n v="1"/>
    <n v="7"/>
    <x v="0"/>
    <x v="0"/>
  </r>
  <r>
    <n v="6585"/>
    <n v="107821752"/>
    <s v="Recovery"/>
    <n v="200"/>
    <s v="AHY"/>
    <s v="F"/>
    <n v="12"/>
    <n v="2015"/>
    <n v="2015"/>
    <n v="11"/>
    <x v="0"/>
    <s v="11B"/>
    <x v="14"/>
    <n v="1"/>
    <n v="7"/>
    <x v="0"/>
    <x v="0"/>
  </r>
  <r>
    <n v="6586"/>
    <n v="107821753"/>
    <s v="Recovery"/>
    <n v="200"/>
    <s v="HY"/>
    <s v="F"/>
    <n v="12"/>
    <n v="2010"/>
    <n v="2010"/>
    <n v="6"/>
    <x v="0"/>
    <s v="6B"/>
    <x v="2"/>
    <n v="1"/>
    <n v="7"/>
    <x v="0"/>
    <x v="0"/>
  </r>
  <r>
    <n v="6592"/>
    <n v="107821759"/>
    <s v="Recovery"/>
    <n v="200"/>
    <s v="AHY"/>
    <s v="F"/>
    <n v="1"/>
    <n v="2012"/>
    <n v="2011"/>
    <n v="7"/>
    <x v="0"/>
    <s v="7B"/>
    <x v="9"/>
    <n v="1"/>
    <n v="7"/>
    <x v="0"/>
    <x v="0"/>
  </r>
  <r>
    <n v="6599"/>
    <n v="107821766"/>
    <s v="Recovery"/>
    <n v="200"/>
    <s v="AHY"/>
    <s v="F"/>
    <n v="1"/>
    <n v="2012"/>
    <n v="2011"/>
    <n v="7"/>
    <x v="0"/>
    <s v="7B"/>
    <x v="9"/>
    <n v="1"/>
    <n v="7"/>
    <x v="0"/>
    <x v="0"/>
  </r>
  <r>
    <n v="6602"/>
    <n v="107821769"/>
    <s v="Recovery"/>
    <n v="200"/>
    <s v="AHY"/>
    <s v="F"/>
    <n v="12"/>
    <n v="2011"/>
    <n v="2011"/>
    <n v="7"/>
    <x v="0"/>
    <s v="7B"/>
    <x v="9"/>
    <n v="1"/>
    <n v="7"/>
    <x v="0"/>
    <x v="0"/>
  </r>
  <r>
    <n v="6604"/>
    <n v="107821771"/>
    <s v="Recovery"/>
    <n v="200"/>
    <s v="AHY"/>
    <s v="M"/>
    <n v="11"/>
    <n v="2010"/>
    <n v="2010"/>
    <n v="6"/>
    <x v="0"/>
    <s v="6B"/>
    <x v="2"/>
    <n v="1"/>
    <n v="7"/>
    <x v="0"/>
    <x v="0"/>
  </r>
  <r>
    <n v="6609"/>
    <n v="107821776"/>
    <s v="Recovery"/>
    <n v="200"/>
    <s v="AHY"/>
    <s v="F"/>
    <n v="9"/>
    <n v="2014"/>
    <n v="2014"/>
    <n v="10"/>
    <x v="0"/>
    <s v="10B"/>
    <x v="7"/>
    <n v="1"/>
    <n v="7"/>
    <x v="0"/>
    <x v="0"/>
  </r>
  <r>
    <n v="6613"/>
    <n v="107821780"/>
    <s v="Recovery"/>
    <n v="200"/>
    <s v="AHY"/>
    <s v="F"/>
    <n v="12"/>
    <n v="2010"/>
    <n v="2010"/>
    <n v="6"/>
    <x v="0"/>
    <s v="6B"/>
    <x v="2"/>
    <n v="1"/>
    <n v="7"/>
    <x v="0"/>
    <x v="0"/>
  </r>
  <r>
    <n v="6616"/>
    <n v="107821783"/>
    <s v="Recovery"/>
    <n v="200"/>
    <s v="AHY"/>
    <s v="M"/>
    <n v="9"/>
    <n v="2010"/>
    <n v="2010"/>
    <n v="6"/>
    <x v="0"/>
    <s v="6B"/>
    <x v="2"/>
    <n v="1"/>
    <n v="7"/>
    <x v="0"/>
    <x v="0"/>
  </r>
  <r>
    <n v="6622"/>
    <n v="107821789"/>
    <s v="Recovery"/>
    <n v="200"/>
    <s v="AHY"/>
    <s v="M"/>
    <n v="11"/>
    <n v="2014"/>
    <n v="2014"/>
    <n v="10"/>
    <x v="0"/>
    <s v="10B"/>
    <x v="7"/>
    <n v="1"/>
    <n v="7"/>
    <x v="0"/>
    <x v="0"/>
  </r>
  <r>
    <n v="6628"/>
    <n v="107821795"/>
    <s v="Recovery"/>
    <n v="200"/>
    <s v="AHY"/>
    <s v="M"/>
    <n v="9"/>
    <n v="2010"/>
    <n v="2010"/>
    <n v="6"/>
    <x v="0"/>
    <s v="6B"/>
    <x v="2"/>
    <n v="1"/>
    <n v="7"/>
    <x v="0"/>
    <x v="0"/>
  </r>
  <r>
    <n v="6630"/>
    <n v="107821797"/>
    <s v="Recovery"/>
    <n v="200"/>
    <s v="AHY"/>
    <s v="F"/>
    <n v="1"/>
    <n v="2012"/>
    <n v="2011"/>
    <n v="7"/>
    <x v="0"/>
    <s v="7B"/>
    <x v="9"/>
    <n v="1"/>
    <n v="7"/>
    <x v="0"/>
    <x v="0"/>
  </r>
  <r>
    <n v="6632"/>
    <n v="107821799"/>
    <s v="Recovery"/>
    <n v="200"/>
    <s v="AHY"/>
    <s v="F"/>
    <n v="9"/>
    <n v="2014"/>
    <n v="2014"/>
    <n v="10"/>
    <x v="0"/>
    <s v="10B"/>
    <x v="7"/>
    <n v="1"/>
    <n v="7"/>
    <x v="0"/>
    <x v="0"/>
  </r>
  <r>
    <n v="6634"/>
    <n v="107821801"/>
    <s v="Recovery"/>
    <n v="200"/>
    <s v="AHY"/>
    <s v="M"/>
    <n v="12"/>
    <n v="2013"/>
    <n v="2013"/>
    <n v="9"/>
    <x v="0"/>
    <s v="9B"/>
    <x v="4"/>
    <n v="1"/>
    <n v="7"/>
    <x v="0"/>
    <x v="0"/>
  </r>
  <r>
    <n v="6635"/>
    <n v="107821802"/>
    <s v="Recovery"/>
    <n v="200"/>
    <s v="AHY"/>
    <s v="M"/>
    <n v="12"/>
    <n v="2010"/>
    <n v="2010"/>
    <n v="6"/>
    <x v="0"/>
    <s v="6B"/>
    <x v="2"/>
    <n v="1"/>
    <n v="7"/>
    <x v="0"/>
    <x v="0"/>
  </r>
  <r>
    <n v="6644"/>
    <n v="107821811"/>
    <s v="Recovery"/>
    <n v="200"/>
    <s v="AHY"/>
    <s v="F"/>
    <n v="11"/>
    <n v="2011"/>
    <n v="2011"/>
    <n v="7"/>
    <x v="0"/>
    <s v="7B"/>
    <x v="9"/>
    <n v="1"/>
    <n v="7"/>
    <x v="0"/>
    <x v="0"/>
  </r>
  <r>
    <n v="6646"/>
    <n v="107821813"/>
    <s v="Recovery"/>
    <n v="200"/>
    <s v="AHY"/>
    <s v="M"/>
    <n v="1"/>
    <n v="2017"/>
    <n v="2016"/>
    <n v="12"/>
    <x v="0"/>
    <s v="12B"/>
    <x v="12"/>
    <n v="1"/>
    <n v="7"/>
    <x v="0"/>
    <x v="0"/>
  </r>
  <r>
    <n v="6649"/>
    <n v="107821816"/>
    <s v="Recovery"/>
    <n v="200"/>
    <s v="AHY"/>
    <s v="M"/>
    <n v="1"/>
    <n v="2014"/>
    <n v="2013"/>
    <n v="9"/>
    <x v="0"/>
    <s v="9B"/>
    <x v="4"/>
    <n v="1"/>
    <n v="7"/>
    <x v="0"/>
    <x v="0"/>
  </r>
  <r>
    <n v="6652"/>
    <n v="107821819"/>
    <s v="Recovery"/>
    <n v="200"/>
    <s v="AHY"/>
    <s v="F"/>
    <n v="12"/>
    <n v="2010"/>
    <n v="2010"/>
    <n v="6"/>
    <x v="0"/>
    <s v="6B"/>
    <x v="2"/>
    <n v="1"/>
    <n v="7"/>
    <x v="0"/>
    <x v="0"/>
  </r>
  <r>
    <n v="6656"/>
    <n v="107821823"/>
    <s v="Recovery"/>
    <n v="200"/>
    <s v="AHY"/>
    <s v="M"/>
    <n v="9"/>
    <n v="2014"/>
    <n v="2014"/>
    <n v="10"/>
    <x v="0"/>
    <s v="10B"/>
    <x v="7"/>
    <n v="1"/>
    <n v="7"/>
    <x v="0"/>
    <x v="0"/>
  </r>
  <r>
    <n v="6658"/>
    <n v="107821825"/>
    <s v="Recovery"/>
    <n v="200"/>
    <s v="AHY"/>
    <s v="F"/>
    <n v="9"/>
    <n v="2010"/>
    <n v="2010"/>
    <n v="6"/>
    <x v="0"/>
    <s v="6B"/>
    <x v="2"/>
    <n v="1"/>
    <n v="7"/>
    <x v="0"/>
    <x v="0"/>
  </r>
  <r>
    <n v="6660"/>
    <n v="107821827"/>
    <s v="Recovery"/>
    <n v="200"/>
    <s v="AHY"/>
    <s v="F"/>
    <n v="1"/>
    <n v="2011"/>
    <n v="2010"/>
    <n v="6"/>
    <x v="0"/>
    <s v="6B"/>
    <x v="2"/>
    <n v="1"/>
    <n v="7"/>
    <x v="0"/>
    <x v="0"/>
  </r>
  <r>
    <n v="6664"/>
    <n v="107821831"/>
    <s v="Recovery"/>
    <n v="200"/>
    <s v="AHY"/>
    <s v="F"/>
    <n v="1"/>
    <n v="2014"/>
    <n v="2013"/>
    <n v="9"/>
    <x v="0"/>
    <s v="9B"/>
    <x v="4"/>
    <n v="1"/>
    <n v="7"/>
    <x v="0"/>
    <x v="0"/>
  </r>
  <r>
    <n v="6665"/>
    <n v="107821832"/>
    <s v="Recovery"/>
    <n v="200"/>
    <s v="AHY"/>
    <s v="M"/>
    <n v="9"/>
    <n v="2015"/>
    <n v="2015"/>
    <n v="11"/>
    <x v="0"/>
    <s v="11B"/>
    <x v="14"/>
    <n v="1"/>
    <n v="7"/>
    <x v="0"/>
    <x v="0"/>
  </r>
  <r>
    <n v="6667"/>
    <n v="107821834"/>
    <s v="Recovery"/>
    <n v="200"/>
    <s v="AHY"/>
    <s v="F"/>
    <n v="9"/>
    <n v="2010"/>
    <n v="2010"/>
    <n v="6"/>
    <x v="0"/>
    <s v="6B"/>
    <x v="2"/>
    <n v="1"/>
    <n v="7"/>
    <x v="0"/>
    <x v="0"/>
  </r>
  <r>
    <n v="6668"/>
    <n v="107821835"/>
    <s v="Recovery"/>
    <n v="200"/>
    <s v="AHY"/>
    <s v="F"/>
    <n v="1"/>
    <n v="2020"/>
    <n v="2019"/>
    <n v="15"/>
    <x v="0"/>
    <s v="15B"/>
    <x v="11"/>
    <n v="1"/>
    <n v="7"/>
    <x v="0"/>
    <x v="0"/>
  </r>
  <r>
    <n v="6671"/>
    <n v="107821838"/>
    <s v="Recovery"/>
    <n v="200"/>
    <s v="AHY"/>
    <s v="M"/>
    <n v="12"/>
    <n v="2010"/>
    <n v="2010"/>
    <n v="6"/>
    <x v="0"/>
    <s v="6B"/>
    <x v="2"/>
    <n v="1"/>
    <n v="7"/>
    <x v="0"/>
    <x v="0"/>
  </r>
  <r>
    <n v="6673"/>
    <n v="107821840"/>
    <s v="Recovery"/>
    <n v="200"/>
    <s v="AHY"/>
    <s v="M"/>
    <n v="1"/>
    <n v="2011"/>
    <n v="2010"/>
    <n v="6"/>
    <x v="0"/>
    <s v="6B"/>
    <x v="2"/>
    <n v="1"/>
    <n v="7"/>
    <x v="0"/>
    <x v="0"/>
  </r>
  <r>
    <n v="6674"/>
    <n v="107821841"/>
    <s v="Recovery"/>
    <n v="200"/>
    <s v="AHY"/>
    <s v="M"/>
    <n v="1"/>
    <n v="2011"/>
    <n v="2010"/>
    <n v="6"/>
    <x v="0"/>
    <s v="6B"/>
    <x v="2"/>
    <n v="1"/>
    <n v="7"/>
    <x v="0"/>
    <x v="0"/>
  </r>
  <r>
    <n v="6675"/>
    <n v="107821842"/>
    <s v="Recovery"/>
    <n v="200"/>
    <s v="AHY"/>
    <s v="F"/>
    <n v="9"/>
    <n v="2010"/>
    <n v="2010"/>
    <n v="6"/>
    <x v="0"/>
    <s v="6B"/>
    <x v="2"/>
    <n v="1"/>
    <n v="7"/>
    <x v="0"/>
    <x v="0"/>
  </r>
  <r>
    <n v="6683"/>
    <n v="107821850"/>
    <s v="Recovery"/>
    <n v="200"/>
    <s v="AHY"/>
    <s v="F"/>
    <n v="1"/>
    <n v="2013"/>
    <n v="2012"/>
    <n v="8"/>
    <x v="0"/>
    <s v="8B"/>
    <x v="3"/>
    <n v="1"/>
    <n v="7"/>
    <x v="0"/>
    <x v="0"/>
  </r>
  <r>
    <n v="6689"/>
    <n v="107821856"/>
    <s v="Recovery"/>
    <n v="200"/>
    <s v="AHY"/>
    <s v="F"/>
    <n v="9"/>
    <n v="2017"/>
    <n v="2017"/>
    <n v="13"/>
    <x v="0"/>
    <s v="13B"/>
    <x v="13"/>
    <n v="1"/>
    <n v="7"/>
    <x v="0"/>
    <x v="0"/>
  </r>
  <r>
    <n v="6694"/>
    <n v="107821861"/>
    <s v="Recovery"/>
    <n v="200"/>
    <s v="AHY"/>
    <s v="F"/>
    <n v="9"/>
    <n v="2010"/>
    <n v="2010"/>
    <n v="6"/>
    <x v="0"/>
    <s v="6B"/>
    <x v="2"/>
    <n v="1"/>
    <n v="7"/>
    <x v="0"/>
    <x v="0"/>
  </r>
  <r>
    <n v="6704"/>
    <n v="107821871"/>
    <s v="Recovery"/>
    <n v="200"/>
    <s v="AHY"/>
    <s v="F"/>
    <n v="12"/>
    <n v="2011"/>
    <n v="2011"/>
    <n v="7"/>
    <x v="0"/>
    <s v="7B"/>
    <x v="9"/>
    <n v="1"/>
    <n v="7"/>
    <x v="0"/>
    <x v="0"/>
  </r>
  <r>
    <n v="6705"/>
    <n v="107821872"/>
    <s v="Recovery"/>
    <n v="200"/>
    <s v="AHY"/>
    <s v="M"/>
    <n v="11"/>
    <n v="2011"/>
    <n v="2011"/>
    <n v="7"/>
    <x v="0"/>
    <s v="7B"/>
    <x v="9"/>
    <n v="1"/>
    <n v="7"/>
    <x v="0"/>
    <x v="0"/>
  </r>
  <r>
    <n v="6706"/>
    <n v="107821873"/>
    <s v="Recovery"/>
    <n v="200"/>
    <s v="AHY"/>
    <s v="M"/>
    <n v="12"/>
    <n v="2012"/>
    <n v="2012"/>
    <n v="8"/>
    <x v="0"/>
    <s v="8B"/>
    <x v="3"/>
    <n v="1"/>
    <n v="7"/>
    <x v="0"/>
    <x v="0"/>
  </r>
  <r>
    <n v="6707"/>
    <n v="107821874"/>
    <s v="Recovery"/>
    <n v="200"/>
    <s v="AHY"/>
    <s v="F"/>
    <n v="9"/>
    <n v="2010"/>
    <n v="2010"/>
    <n v="6"/>
    <x v="0"/>
    <s v="6B"/>
    <x v="2"/>
    <n v="1"/>
    <n v="7"/>
    <x v="0"/>
    <x v="0"/>
  </r>
  <r>
    <n v="6714"/>
    <n v="107821881"/>
    <s v="Recovery"/>
    <n v="200"/>
    <s v="AHY"/>
    <s v="F"/>
    <n v="12"/>
    <n v="2013"/>
    <n v="2013"/>
    <n v="9"/>
    <x v="0"/>
    <s v="9B"/>
    <x v="4"/>
    <n v="1"/>
    <n v="7"/>
    <x v="0"/>
    <x v="0"/>
  </r>
  <r>
    <n v="6717"/>
    <n v="107821884"/>
    <s v="Recovery"/>
    <n v="200"/>
    <s v="AHY"/>
    <s v="F"/>
    <n v="1"/>
    <n v="2013"/>
    <n v="2012"/>
    <n v="8"/>
    <x v="0"/>
    <s v="8B"/>
    <x v="3"/>
    <n v="1"/>
    <n v="7"/>
    <x v="0"/>
    <x v="0"/>
  </r>
  <r>
    <n v="6719"/>
    <n v="107821886"/>
    <s v="Recovery"/>
    <n v="200"/>
    <s v="AHY"/>
    <s v="M"/>
    <n v="1"/>
    <n v="2016"/>
    <n v="2015"/>
    <n v="11"/>
    <x v="0"/>
    <s v="11B"/>
    <x v="14"/>
    <n v="1"/>
    <n v="7"/>
    <x v="0"/>
    <x v="0"/>
  </r>
  <r>
    <n v="6723"/>
    <n v="107821890"/>
    <s v="Recovery"/>
    <n v="200"/>
    <s v="AHY"/>
    <s v="F"/>
    <n v="1"/>
    <n v="2013"/>
    <n v="2012"/>
    <n v="8"/>
    <x v="0"/>
    <s v="8B"/>
    <x v="3"/>
    <n v="1"/>
    <n v="7"/>
    <x v="0"/>
    <x v="0"/>
  </r>
  <r>
    <n v="6724"/>
    <n v="107821891"/>
    <s v="Recovery"/>
    <n v="200"/>
    <s v="AHY"/>
    <s v="M"/>
    <n v="12"/>
    <n v="2010"/>
    <n v="2010"/>
    <n v="6"/>
    <x v="0"/>
    <s v="6B"/>
    <x v="2"/>
    <n v="1"/>
    <n v="7"/>
    <x v="0"/>
    <x v="0"/>
  </r>
  <r>
    <n v="6730"/>
    <n v="107821897"/>
    <s v="Recovery"/>
    <n v="200"/>
    <s v="AHY"/>
    <s v="M"/>
    <n v="9"/>
    <n v="2017"/>
    <n v="2017"/>
    <n v="13"/>
    <x v="0"/>
    <s v="13B"/>
    <x v="13"/>
    <n v="1"/>
    <n v="7"/>
    <x v="0"/>
    <x v="0"/>
  </r>
  <r>
    <n v="6734"/>
    <n v="107821901"/>
    <s v="Recovery"/>
    <n v="200"/>
    <s v="AHY"/>
    <s v="F"/>
    <n v="12"/>
    <n v="2015"/>
    <n v="2015"/>
    <n v="11"/>
    <x v="0"/>
    <s v="11B"/>
    <x v="14"/>
    <n v="1"/>
    <n v="7"/>
    <x v="0"/>
    <x v="0"/>
  </r>
  <r>
    <n v="6737"/>
    <n v="107821904"/>
    <s v="Recovery"/>
    <n v="200"/>
    <s v="AHY"/>
    <s v="F"/>
    <n v="9"/>
    <n v="2017"/>
    <n v="2017"/>
    <n v="13"/>
    <x v="0"/>
    <s v="13B"/>
    <x v="13"/>
    <n v="1"/>
    <n v="7"/>
    <x v="0"/>
    <x v="0"/>
  </r>
  <r>
    <n v="6742"/>
    <n v="107821909"/>
    <s v="Recovery"/>
    <n v="200"/>
    <s v="AHY"/>
    <s v="M"/>
    <n v="9"/>
    <n v="2013"/>
    <n v="2013"/>
    <n v="9"/>
    <x v="0"/>
    <s v="9B"/>
    <x v="4"/>
    <n v="1"/>
    <n v="7"/>
    <x v="0"/>
    <x v="0"/>
  </r>
  <r>
    <n v="6744"/>
    <n v="107821911"/>
    <s v="Recovery"/>
    <n v="200"/>
    <s v="AHY"/>
    <s v="F"/>
    <n v="11"/>
    <n v="2014"/>
    <n v="2014"/>
    <n v="10"/>
    <x v="0"/>
    <s v="10B"/>
    <x v="7"/>
    <n v="1"/>
    <n v="7"/>
    <x v="0"/>
    <x v="0"/>
  </r>
  <r>
    <n v="6747"/>
    <n v="107821914"/>
    <s v="Recovery"/>
    <n v="200"/>
    <s v="AHY"/>
    <s v="F"/>
    <n v="1"/>
    <n v="2013"/>
    <n v="2012"/>
    <n v="8"/>
    <x v="0"/>
    <s v="8B"/>
    <x v="3"/>
    <n v="1"/>
    <n v="7"/>
    <x v="0"/>
    <x v="0"/>
  </r>
  <r>
    <n v="6748"/>
    <n v="107821915"/>
    <s v="Recovery"/>
    <n v="200"/>
    <s v="AHY"/>
    <s v="F"/>
    <n v="1"/>
    <n v="2012"/>
    <n v="2011"/>
    <n v="7"/>
    <x v="0"/>
    <s v="7B"/>
    <x v="9"/>
    <n v="1"/>
    <n v="7"/>
    <x v="0"/>
    <x v="0"/>
  </r>
  <r>
    <n v="6751"/>
    <n v="107821918"/>
    <s v="Recovery"/>
    <n v="200"/>
    <s v="AHY"/>
    <s v="M"/>
    <n v="1"/>
    <n v="2012"/>
    <n v="2011"/>
    <n v="7"/>
    <x v="0"/>
    <s v="7B"/>
    <x v="9"/>
    <n v="1"/>
    <n v="7"/>
    <x v="0"/>
    <x v="0"/>
  </r>
  <r>
    <n v="6754"/>
    <n v="107821921"/>
    <s v="Recovery"/>
    <n v="200"/>
    <s v="AHY"/>
    <s v="M"/>
    <n v="9"/>
    <n v="2010"/>
    <n v="2010"/>
    <n v="6"/>
    <x v="0"/>
    <s v="6B"/>
    <x v="2"/>
    <n v="1"/>
    <n v="7"/>
    <x v="0"/>
    <x v="0"/>
  </r>
  <r>
    <n v="6758"/>
    <n v="107821925"/>
    <s v="Recovery"/>
    <n v="200"/>
    <s v="AHY"/>
    <s v="F"/>
    <n v="1"/>
    <n v="2011"/>
    <n v="2010"/>
    <n v="6"/>
    <x v="0"/>
    <s v="6B"/>
    <x v="2"/>
    <n v="1"/>
    <n v="7"/>
    <x v="0"/>
    <x v="0"/>
  </r>
  <r>
    <n v="6761"/>
    <n v="107821928"/>
    <s v="Recovery"/>
    <n v="200"/>
    <s v="AHY"/>
    <s v="M"/>
    <n v="1"/>
    <n v="2017"/>
    <n v="2016"/>
    <n v="12"/>
    <x v="0"/>
    <s v="12B"/>
    <x v="12"/>
    <n v="1"/>
    <n v="7"/>
    <x v="0"/>
    <x v="0"/>
  </r>
  <r>
    <n v="6762"/>
    <n v="107821929"/>
    <s v="Recovery"/>
    <n v="200"/>
    <s v="AHY"/>
    <s v="M"/>
    <n v="1"/>
    <n v="2015"/>
    <n v="2014"/>
    <n v="10"/>
    <x v="0"/>
    <s v="10B"/>
    <x v="7"/>
    <n v="1"/>
    <n v="7"/>
    <x v="0"/>
    <x v="0"/>
  </r>
  <r>
    <n v="6771"/>
    <n v="107821938"/>
    <s v="Recovery"/>
    <n v="200"/>
    <s v="AHY"/>
    <s v="F"/>
    <n v="11"/>
    <n v="2018"/>
    <n v="2018"/>
    <n v="14"/>
    <x v="0"/>
    <s v="14B"/>
    <x v="10"/>
    <n v="1"/>
    <n v="7"/>
    <x v="0"/>
    <x v="0"/>
  </r>
  <r>
    <n v="6772"/>
    <n v="107821939"/>
    <s v="Recovery"/>
    <n v="200"/>
    <s v="AHY"/>
    <s v="M"/>
    <n v="11"/>
    <n v="2014"/>
    <n v="2014"/>
    <n v="10"/>
    <x v="0"/>
    <s v="10B"/>
    <x v="7"/>
    <n v="1"/>
    <n v="7"/>
    <x v="0"/>
    <x v="0"/>
  </r>
  <r>
    <n v="6776"/>
    <n v="107821943"/>
    <s v="Recovery"/>
    <n v="200"/>
    <s v="AHY"/>
    <s v="M"/>
    <n v="9"/>
    <n v="2013"/>
    <n v="2013"/>
    <n v="9"/>
    <x v="0"/>
    <s v="9B"/>
    <x v="4"/>
    <n v="1"/>
    <n v="7"/>
    <x v="0"/>
    <x v="0"/>
  </r>
  <r>
    <n v="6778"/>
    <n v="107821945"/>
    <s v="Recovery"/>
    <n v="200"/>
    <s v="AHY"/>
    <s v="F"/>
    <n v="11"/>
    <n v="2014"/>
    <n v="2014"/>
    <n v="10"/>
    <x v="0"/>
    <s v="10B"/>
    <x v="7"/>
    <n v="1"/>
    <n v="7"/>
    <x v="0"/>
    <x v="0"/>
  </r>
  <r>
    <n v="6781"/>
    <n v="107821948"/>
    <s v="Recovery"/>
    <n v="200"/>
    <s v="AHY"/>
    <s v="M"/>
    <n v="9"/>
    <n v="2017"/>
    <n v="2017"/>
    <n v="13"/>
    <x v="0"/>
    <s v="13B"/>
    <x v="13"/>
    <n v="1"/>
    <n v="7"/>
    <x v="0"/>
    <x v="0"/>
  </r>
  <r>
    <n v="6783"/>
    <n v="107821950"/>
    <s v="Recovery"/>
    <n v="200"/>
    <s v="AHY"/>
    <s v="M"/>
    <n v="12"/>
    <n v="2011"/>
    <n v="2011"/>
    <n v="7"/>
    <x v="0"/>
    <s v="7B"/>
    <x v="9"/>
    <n v="1"/>
    <n v="7"/>
    <x v="0"/>
    <x v="0"/>
  </r>
  <r>
    <n v="6785"/>
    <n v="107821952"/>
    <s v="Recovery"/>
    <n v="200"/>
    <s v="AHY"/>
    <s v="M"/>
    <n v="11"/>
    <n v="2015"/>
    <n v="2015"/>
    <n v="11"/>
    <x v="0"/>
    <s v="11B"/>
    <x v="14"/>
    <n v="1"/>
    <n v="7"/>
    <x v="0"/>
    <x v="0"/>
  </r>
  <r>
    <n v="6787"/>
    <n v="107821954"/>
    <s v="Recovery"/>
    <n v="200"/>
    <s v="AHY"/>
    <s v="M"/>
    <n v="11"/>
    <n v="2015"/>
    <n v="2015"/>
    <n v="11"/>
    <x v="0"/>
    <s v="11B"/>
    <x v="14"/>
    <n v="1"/>
    <n v="7"/>
    <x v="0"/>
    <x v="0"/>
  </r>
  <r>
    <n v="6790"/>
    <n v="107821957"/>
    <s v="Recovery"/>
    <n v="200"/>
    <s v="AHY"/>
    <s v="F"/>
    <n v="1"/>
    <n v="2013"/>
    <n v="2012"/>
    <n v="8"/>
    <x v="0"/>
    <s v="8B"/>
    <x v="3"/>
    <n v="1"/>
    <n v="7"/>
    <x v="0"/>
    <x v="0"/>
  </r>
  <r>
    <n v="6793"/>
    <n v="107821960"/>
    <s v="Recovery"/>
    <n v="200"/>
    <s v="AHY"/>
    <s v="M"/>
    <n v="1"/>
    <n v="2012"/>
    <n v="2011"/>
    <n v="7"/>
    <x v="0"/>
    <s v="7B"/>
    <x v="9"/>
    <n v="1"/>
    <n v="7"/>
    <x v="0"/>
    <x v="0"/>
  </r>
  <r>
    <n v="6796"/>
    <n v="107821963"/>
    <s v="Recovery"/>
    <n v="200"/>
    <s v="AHY"/>
    <s v="F"/>
    <n v="9"/>
    <n v="2017"/>
    <n v="2017"/>
    <n v="13"/>
    <x v="0"/>
    <s v="13B"/>
    <x v="13"/>
    <n v="1"/>
    <n v="7"/>
    <x v="0"/>
    <x v="0"/>
  </r>
  <r>
    <n v="6804"/>
    <n v="107821971"/>
    <s v="Recovery"/>
    <n v="200"/>
    <s v="AHY"/>
    <s v="F"/>
    <n v="1"/>
    <n v="2013"/>
    <n v="2012"/>
    <n v="8"/>
    <x v="0"/>
    <s v="8B"/>
    <x v="3"/>
    <n v="1"/>
    <n v="7"/>
    <x v="0"/>
    <x v="0"/>
  </r>
  <r>
    <n v="6808"/>
    <n v="107821975"/>
    <s v="Recovery"/>
    <n v="200"/>
    <s v="AHY"/>
    <s v="F"/>
    <n v="1"/>
    <n v="2014"/>
    <n v="2013"/>
    <n v="9"/>
    <x v="0"/>
    <s v="9B"/>
    <x v="4"/>
    <n v="1"/>
    <n v="7"/>
    <x v="0"/>
    <x v="0"/>
  </r>
  <r>
    <n v="6812"/>
    <n v="107821979"/>
    <s v="Recovery"/>
    <n v="200"/>
    <s v="AHY"/>
    <s v="M"/>
    <n v="11"/>
    <n v="2012"/>
    <n v="2012"/>
    <n v="8"/>
    <x v="0"/>
    <s v="8B"/>
    <x v="3"/>
    <n v="1"/>
    <n v="7"/>
    <x v="0"/>
    <x v="0"/>
  </r>
  <r>
    <n v="6821"/>
    <n v="107821988"/>
    <s v="Recovery"/>
    <n v="200"/>
    <s v="AHY"/>
    <s v="F"/>
    <n v="1"/>
    <n v="2015"/>
    <n v="2014"/>
    <n v="10"/>
    <x v="0"/>
    <s v="10B"/>
    <x v="7"/>
    <n v="1"/>
    <n v="7"/>
    <x v="0"/>
    <x v="0"/>
  </r>
  <r>
    <n v="6823"/>
    <n v="107821990"/>
    <s v="Recovery"/>
    <n v="200"/>
    <s v="AHY"/>
    <s v="F"/>
    <n v="9"/>
    <n v="2017"/>
    <n v="2017"/>
    <n v="13"/>
    <x v="0"/>
    <s v="13B"/>
    <x v="13"/>
    <n v="1"/>
    <n v="7"/>
    <x v="0"/>
    <x v="0"/>
  </r>
  <r>
    <n v="6825"/>
    <n v="107821992"/>
    <s v="Recovery"/>
    <n v="200"/>
    <s v="AHY"/>
    <s v="M"/>
    <n v="1"/>
    <n v="2014"/>
    <n v="2013"/>
    <n v="9"/>
    <x v="0"/>
    <s v="9B"/>
    <x v="4"/>
    <n v="1"/>
    <n v="7"/>
    <x v="0"/>
    <x v="0"/>
  </r>
  <r>
    <n v="6831"/>
    <n v="107821998"/>
    <s v="Recovery"/>
    <n v="200"/>
    <s v="AHY"/>
    <s v="F"/>
    <n v="11"/>
    <n v="2012"/>
    <n v="2012"/>
    <n v="8"/>
    <x v="0"/>
    <s v="8B"/>
    <x v="3"/>
    <n v="1"/>
    <n v="7"/>
    <x v="0"/>
    <x v="0"/>
  </r>
  <r>
    <n v="6834"/>
    <n v="107822001"/>
    <s v="Recovery"/>
    <n v="200"/>
    <s v="AHY"/>
    <s v="M"/>
    <n v="1"/>
    <n v="2011"/>
    <n v="2010"/>
    <n v="6"/>
    <x v="0"/>
    <s v="6B"/>
    <x v="2"/>
    <n v="1"/>
    <n v="7"/>
    <x v="0"/>
    <x v="0"/>
  </r>
  <r>
    <n v="6839"/>
    <n v="107822006"/>
    <s v="Recovery"/>
    <n v="200"/>
    <s v="AHY"/>
    <s v="M"/>
    <n v="11"/>
    <n v="2016"/>
    <n v="2016"/>
    <n v="12"/>
    <x v="0"/>
    <s v="12B"/>
    <x v="12"/>
    <n v="1"/>
    <n v="7"/>
    <x v="0"/>
    <x v="0"/>
  </r>
  <r>
    <n v="6840"/>
    <n v="107822007"/>
    <s v="Recovery"/>
    <n v="200"/>
    <s v="AHY"/>
    <s v="F"/>
    <n v="9"/>
    <n v="2011"/>
    <n v="2011"/>
    <n v="7"/>
    <x v="0"/>
    <s v="7B"/>
    <x v="9"/>
    <n v="1"/>
    <n v="7"/>
    <x v="0"/>
    <x v="0"/>
  </r>
  <r>
    <n v="6841"/>
    <n v="107822008"/>
    <s v="Recovery"/>
    <n v="200"/>
    <s v="AHY"/>
    <s v="M"/>
    <n v="1"/>
    <n v="2013"/>
    <n v="2012"/>
    <n v="8"/>
    <x v="0"/>
    <s v="8B"/>
    <x v="3"/>
    <n v="1"/>
    <n v="7"/>
    <x v="0"/>
    <x v="0"/>
  </r>
  <r>
    <n v="6851"/>
    <n v="107822018"/>
    <s v="Recovery"/>
    <n v="200"/>
    <s v="AHY"/>
    <s v="M"/>
    <n v="1"/>
    <n v="2013"/>
    <n v="2012"/>
    <n v="8"/>
    <x v="0"/>
    <s v="8B"/>
    <x v="3"/>
    <n v="1"/>
    <n v="7"/>
    <x v="0"/>
    <x v="0"/>
  </r>
  <r>
    <n v="6853"/>
    <n v="107822020"/>
    <s v="Recovery"/>
    <n v="200"/>
    <s v="AHY"/>
    <s v="F"/>
    <n v="1"/>
    <n v="2012"/>
    <n v="2011"/>
    <n v="7"/>
    <x v="0"/>
    <s v="7B"/>
    <x v="9"/>
    <n v="1"/>
    <n v="7"/>
    <x v="0"/>
    <x v="0"/>
  </r>
  <r>
    <n v="6858"/>
    <n v="107822025"/>
    <s v="Recovery"/>
    <n v="200"/>
    <s v="AHY"/>
    <s v="F"/>
    <n v="1"/>
    <n v="2011"/>
    <n v="2010"/>
    <n v="6"/>
    <x v="0"/>
    <s v="6B"/>
    <x v="2"/>
    <n v="1"/>
    <n v="7"/>
    <x v="0"/>
    <x v="0"/>
  </r>
  <r>
    <n v="6860"/>
    <n v="107822027"/>
    <s v="Recovery"/>
    <n v="200"/>
    <s v="AHY"/>
    <s v="F"/>
    <n v="12"/>
    <n v="2011"/>
    <n v="2011"/>
    <n v="7"/>
    <x v="0"/>
    <s v="7B"/>
    <x v="9"/>
    <n v="1"/>
    <n v="7"/>
    <x v="0"/>
    <x v="0"/>
  </r>
  <r>
    <n v="6865"/>
    <n v="107822032"/>
    <s v="Recovery"/>
    <n v="200"/>
    <s v="AHY"/>
    <s v="F"/>
    <n v="1"/>
    <n v="2020"/>
    <n v="2019"/>
    <n v="15"/>
    <x v="0"/>
    <s v="15B"/>
    <x v="11"/>
    <n v="1"/>
    <n v="7"/>
    <x v="0"/>
    <x v="0"/>
  </r>
  <r>
    <n v="6873"/>
    <n v="107822040"/>
    <s v="Recovery"/>
    <n v="200"/>
    <s v="AHY"/>
    <s v="F"/>
    <n v="9"/>
    <n v="2013"/>
    <n v="2013"/>
    <n v="9"/>
    <x v="0"/>
    <s v="9B"/>
    <x v="4"/>
    <n v="1"/>
    <n v="7"/>
    <x v="0"/>
    <x v="0"/>
  </r>
  <r>
    <n v="6874"/>
    <n v="107822041"/>
    <s v="Recovery"/>
    <n v="200"/>
    <s v="AHY"/>
    <s v="M"/>
    <n v="1"/>
    <n v="2013"/>
    <n v="2012"/>
    <n v="8"/>
    <x v="0"/>
    <s v="8B"/>
    <x v="3"/>
    <n v="1"/>
    <n v="7"/>
    <x v="0"/>
    <x v="0"/>
  </r>
  <r>
    <n v="6877"/>
    <n v="107822044"/>
    <s v="Recovery"/>
    <n v="200"/>
    <s v="AHY"/>
    <s v="F"/>
    <n v="12"/>
    <n v="2015"/>
    <n v="2015"/>
    <n v="11"/>
    <x v="0"/>
    <s v="11B"/>
    <x v="14"/>
    <n v="1"/>
    <n v="7"/>
    <x v="0"/>
    <x v="0"/>
  </r>
  <r>
    <n v="6887"/>
    <n v="107822054"/>
    <s v="Recovery"/>
    <n v="200"/>
    <s v="AHY"/>
    <s v="F"/>
    <n v="2"/>
    <n v="2012"/>
    <n v="2011"/>
    <n v="7"/>
    <x v="0"/>
    <s v="7B"/>
    <x v="9"/>
    <n v="1"/>
    <n v="7"/>
    <x v="0"/>
    <x v="0"/>
  </r>
  <r>
    <n v="6888"/>
    <n v="107822055"/>
    <s v="Recovery"/>
    <n v="200"/>
    <s v="AHY"/>
    <s v="F"/>
    <n v="1"/>
    <n v="2012"/>
    <n v="2011"/>
    <n v="7"/>
    <x v="0"/>
    <s v="7B"/>
    <x v="9"/>
    <n v="1"/>
    <n v="7"/>
    <x v="0"/>
    <x v="0"/>
  </r>
  <r>
    <n v="6889"/>
    <n v="107822056"/>
    <s v="Recovery"/>
    <n v="200"/>
    <s v="AHY"/>
    <s v="M"/>
    <n v="1"/>
    <n v="2014"/>
    <n v="2013"/>
    <n v="9"/>
    <x v="0"/>
    <s v="9B"/>
    <x v="4"/>
    <n v="1"/>
    <n v="7"/>
    <x v="0"/>
    <x v="0"/>
  </r>
  <r>
    <n v="6900"/>
    <n v="107822067"/>
    <s v="Recovery"/>
    <n v="200"/>
    <s v="AHY"/>
    <s v="F"/>
    <n v="9"/>
    <n v="2013"/>
    <n v="2013"/>
    <n v="9"/>
    <x v="0"/>
    <s v="9B"/>
    <x v="4"/>
    <n v="1"/>
    <n v="7"/>
    <x v="0"/>
    <x v="0"/>
  </r>
  <r>
    <n v="6905"/>
    <n v="107822072"/>
    <s v="Recovery"/>
    <n v="200"/>
    <s v="AHY"/>
    <s v="M"/>
    <n v="11"/>
    <n v="2015"/>
    <n v="2015"/>
    <n v="11"/>
    <x v="0"/>
    <s v="11B"/>
    <x v="14"/>
    <n v="1"/>
    <n v="7"/>
    <x v="0"/>
    <x v="0"/>
  </r>
  <r>
    <n v="6907"/>
    <n v="107822074"/>
    <s v="Recovery"/>
    <n v="200"/>
    <s v="AHY"/>
    <s v="F"/>
    <n v="12"/>
    <n v="2011"/>
    <n v="2011"/>
    <n v="7"/>
    <x v="0"/>
    <s v="7B"/>
    <x v="9"/>
    <n v="1"/>
    <n v="7"/>
    <x v="0"/>
    <x v="0"/>
  </r>
  <r>
    <n v="6909"/>
    <n v="107822076"/>
    <s v="Recovery"/>
    <n v="200"/>
    <s v="AHY"/>
    <s v="F"/>
    <n v="12"/>
    <n v="2010"/>
    <n v="2010"/>
    <n v="6"/>
    <x v="0"/>
    <s v="6B"/>
    <x v="2"/>
    <n v="1"/>
    <n v="7"/>
    <x v="0"/>
    <x v="0"/>
  </r>
  <r>
    <n v="6910"/>
    <n v="107822077"/>
    <s v="Recovery"/>
    <n v="200"/>
    <s v="AHY"/>
    <s v="M"/>
    <n v="2"/>
    <n v="2012"/>
    <n v="2011"/>
    <n v="7"/>
    <x v="0"/>
    <s v="7B"/>
    <x v="9"/>
    <n v="1"/>
    <n v="7"/>
    <x v="0"/>
    <x v="0"/>
  </r>
  <r>
    <n v="6912"/>
    <n v="107822079"/>
    <s v="Recovery"/>
    <n v="200"/>
    <s v="AHY"/>
    <s v="F"/>
    <n v="9"/>
    <n v="2010"/>
    <n v="2010"/>
    <n v="6"/>
    <x v="0"/>
    <s v="6B"/>
    <x v="2"/>
    <n v="1"/>
    <n v="7"/>
    <x v="0"/>
    <x v="0"/>
  </r>
  <r>
    <n v="6917"/>
    <n v="107822084"/>
    <s v="Recovery"/>
    <n v="200"/>
    <s v="AHY"/>
    <s v="M"/>
    <n v="9"/>
    <n v="2012"/>
    <n v="2012"/>
    <n v="8"/>
    <x v="0"/>
    <s v="8B"/>
    <x v="3"/>
    <n v="1"/>
    <n v="7"/>
    <x v="0"/>
    <x v="0"/>
  </r>
  <r>
    <n v="6920"/>
    <n v="107822087"/>
    <s v="Recovery"/>
    <n v="200"/>
    <s v="AHY"/>
    <s v="M"/>
    <n v="12"/>
    <n v="2013"/>
    <n v="2013"/>
    <n v="9"/>
    <x v="0"/>
    <s v="9B"/>
    <x v="4"/>
    <n v="1"/>
    <n v="7"/>
    <x v="0"/>
    <x v="0"/>
  </r>
  <r>
    <n v="6922"/>
    <n v="107822089"/>
    <s v="Recovery"/>
    <n v="200"/>
    <s v="AHY"/>
    <s v="F"/>
    <n v="1"/>
    <n v="2012"/>
    <n v="2011"/>
    <n v="7"/>
    <x v="0"/>
    <s v="7B"/>
    <x v="9"/>
    <n v="1"/>
    <n v="7"/>
    <x v="0"/>
    <x v="0"/>
  </r>
  <r>
    <n v="6926"/>
    <n v="107822093"/>
    <s v="Recovery"/>
    <n v="200"/>
    <s v="AHY"/>
    <s v="M"/>
    <n v="10"/>
    <n v="2010"/>
    <n v="2010"/>
    <n v="6"/>
    <x v="0"/>
    <s v="6B"/>
    <x v="2"/>
    <n v="1"/>
    <n v="7"/>
    <x v="0"/>
    <x v="0"/>
  </r>
  <r>
    <n v="6929"/>
    <n v="107822096"/>
    <s v="Recovery"/>
    <n v="200"/>
    <s v="AHY"/>
    <s v="F"/>
    <n v="1"/>
    <n v="2014"/>
    <n v="2013"/>
    <n v="9"/>
    <x v="0"/>
    <s v="9B"/>
    <x v="4"/>
    <n v="1"/>
    <n v="7"/>
    <x v="0"/>
    <x v="0"/>
  </r>
  <r>
    <n v="6930"/>
    <n v="107822097"/>
    <s v="Recovery"/>
    <n v="200"/>
    <s v="AHY"/>
    <s v="M"/>
    <n v="12"/>
    <n v="2012"/>
    <n v="2012"/>
    <n v="8"/>
    <x v="0"/>
    <s v="8B"/>
    <x v="3"/>
    <n v="1"/>
    <n v="7"/>
    <x v="0"/>
    <x v="0"/>
  </r>
  <r>
    <n v="6932"/>
    <n v="107822099"/>
    <s v="Recovery"/>
    <n v="200"/>
    <s v="AHY"/>
    <s v="M"/>
    <n v="1"/>
    <n v="2018"/>
    <n v="2017"/>
    <n v="13"/>
    <x v="0"/>
    <s v="13B"/>
    <x v="13"/>
    <n v="1"/>
    <n v="7"/>
    <x v="0"/>
    <x v="0"/>
  </r>
  <r>
    <n v="6933"/>
    <n v="107822100"/>
    <s v="Recovery"/>
    <n v="200"/>
    <s v="AHY"/>
    <s v="M"/>
    <n v="9"/>
    <n v="2020"/>
    <n v="2020"/>
    <n v="16"/>
    <x v="0"/>
    <s v="16B"/>
    <x v="15"/>
    <n v="1"/>
    <n v="7"/>
    <x v="0"/>
    <x v="0"/>
  </r>
  <r>
    <n v="6934"/>
    <n v="107822101"/>
    <s v="Recovery"/>
    <n v="200"/>
    <s v="AHY"/>
    <s v="M"/>
    <n v="9"/>
    <n v="2017"/>
    <n v="2017"/>
    <n v="13"/>
    <x v="0"/>
    <s v="13B"/>
    <x v="13"/>
    <n v="1"/>
    <n v="7"/>
    <x v="0"/>
    <x v="0"/>
  </r>
  <r>
    <n v="6938"/>
    <n v="107822105"/>
    <s v="Recovery"/>
    <n v="200"/>
    <s v="AHY"/>
    <s v="F"/>
    <n v="1"/>
    <n v="2013"/>
    <n v="2012"/>
    <n v="8"/>
    <x v="0"/>
    <s v="8B"/>
    <x v="3"/>
    <n v="1"/>
    <n v="7"/>
    <x v="0"/>
    <x v="0"/>
  </r>
  <r>
    <n v="6946"/>
    <n v="107822113"/>
    <s v="Recovery"/>
    <n v="200"/>
    <s v="AHY"/>
    <s v="M"/>
    <n v="1"/>
    <n v="2012"/>
    <n v="2011"/>
    <n v="7"/>
    <x v="0"/>
    <s v="7B"/>
    <x v="9"/>
    <n v="1"/>
    <n v="7"/>
    <x v="0"/>
    <x v="0"/>
  </r>
  <r>
    <n v="6948"/>
    <n v="107822115"/>
    <s v="Recovery"/>
    <n v="200"/>
    <s v="AHY"/>
    <s v="F"/>
    <n v="1"/>
    <n v="2013"/>
    <n v="2012"/>
    <n v="8"/>
    <x v="0"/>
    <s v="8B"/>
    <x v="3"/>
    <n v="1"/>
    <n v="7"/>
    <x v="0"/>
    <x v="0"/>
  </r>
  <r>
    <n v="6950"/>
    <n v="107822117"/>
    <s v="Recovery"/>
    <n v="200"/>
    <s v="AHY"/>
    <s v="F"/>
    <n v="11"/>
    <n v="2015"/>
    <n v="2015"/>
    <n v="11"/>
    <x v="0"/>
    <s v="11B"/>
    <x v="14"/>
    <n v="1"/>
    <n v="7"/>
    <x v="0"/>
    <x v="0"/>
  </r>
  <r>
    <n v="6956"/>
    <n v="107822123"/>
    <s v="Recovery"/>
    <n v="200"/>
    <s v="AHY"/>
    <s v="M"/>
    <n v="9"/>
    <n v="2016"/>
    <n v="2016"/>
    <n v="12"/>
    <x v="0"/>
    <s v="12B"/>
    <x v="12"/>
    <n v="1"/>
    <n v="7"/>
    <x v="0"/>
    <x v="0"/>
  </r>
  <r>
    <n v="6962"/>
    <n v="107822129"/>
    <s v="Recovery"/>
    <n v="200"/>
    <s v="AHY"/>
    <s v="F"/>
    <n v="1"/>
    <n v="2020"/>
    <n v="2019"/>
    <n v="15"/>
    <x v="0"/>
    <s v="15B"/>
    <x v="11"/>
    <n v="1"/>
    <n v="7"/>
    <x v="0"/>
    <x v="0"/>
  </r>
  <r>
    <n v="6964"/>
    <n v="107822131"/>
    <s v="Recovery"/>
    <n v="200"/>
    <s v="AHY"/>
    <s v="F"/>
    <n v="1"/>
    <n v="2012"/>
    <n v="2011"/>
    <n v="7"/>
    <x v="0"/>
    <s v="7B"/>
    <x v="9"/>
    <n v="1"/>
    <n v="7"/>
    <x v="0"/>
    <x v="0"/>
  </r>
  <r>
    <n v="6967"/>
    <n v="107822134"/>
    <s v="Recovery"/>
    <n v="200"/>
    <s v="AHY"/>
    <s v="M"/>
    <n v="1"/>
    <n v="2011"/>
    <n v="2010"/>
    <n v="6"/>
    <x v="0"/>
    <s v="6B"/>
    <x v="2"/>
    <n v="1"/>
    <n v="7"/>
    <x v="0"/>
    <x v="0"/>
  </r>
  <r>
    <n v="6968"/>
    <n v="107822135"/>
    <s v="Recovery"/>
    <n v="200"/>
    <s v="AHY"/>
    <s v="F"/>
    <n v="9"/>
    <n v="2013"/>
    <n v="2013"/>
    <n v="9"/>
    <x v="0"/>
    <s v="9B"/>
    <x v="4"/>
    <n v="1"/>
    <n v="7"/>
    <x v="0"/>
    <x v="0"/>
  </r>
  <r>
    <n v="6975"/>
    <n v="107822142"/>
    <s v="Recovery"/>
    <n v="200"/>
    <s v="AHY"/>
    <s v="F"/>
    <n v="9"/>
    <n v="2012"/>
    <n v="2012"/>
    <n v="8"/>
    <x v="0"/>
    <s v="8B"/>
    <x v="3"/>
    <n v="1"/>
    <n v="7"/>
    <x v="0"/>
    <x v="0"/>
  </r>
  <r>
    <n v="6980"/>
    <n v="107822147"/>
    <s v="Recovery"/>
    <n v="200"/>
    <s v="AHY"/>
    <s v="F"/>
    <n v="1"/>
    <n v="2011"/>
    <n v="2010"/>
    <n v="6"/>
    <x v="0"/>
    <s v="6B"/>
    <x v="2"/>
    <n v="1"/>
    <n v="7"/>
    <x v="0"/>
    <x v="0"/>
  </r>
  <r>
    <n v="6983"/>
    <n v="107822150"/>
    <s v="Recovery"/>
    <n v="200"/>
    <s v="AHY"/>
    <s v="F"/>
    <n v="1"/>
    <n v="2015"/>
    <n v="2014"/>
    <n v="10"/>
    <x v="0"/>
    <s v="10B"/>
    <x v="7"/>
    <n v="1"/>
    <n v="7"/>
    <x v="0"/>
    <x v="0"/>
  </r>
  <r>
    <n v="6988"/>
    <n v="107822155"/>
    <s v="Recovery"/>
    <n v="200"/>
    <s v="AHY"/>
    <s v="F"/>
    <n v="1"/>
    <n v="2013"/>
    <n v="2012"/>
    <n v="8"/>
    <x v="0"/>
    <s v="8B"/>
    <x v="3"/>
    <n v="1"/>
    <n v="7"/>
    <x v="0"/>
    <x v="0"/>
  </r>
  <r>
    <n v="6990"/>
    <n v="107822157"/>
    <s v="Recovery"/>
    <n v="200"/>
    <s v="AHY"/>
    <s v="M"/>
    <n v="1"/>
    <n v="2011"/>
    <n v="2010"/>
    <n v="6"/>
    <x v="0"/>
    <s v="6B"/>
    <x v="2"/>
    <n v="1"/>
    <n v="7"/>
    <x v="0"/>
    <x v="0"/>
  </r>
  <r>
    <n v="6992"/>
    <n v="107822159"/>
    <s v="Recovery"/>
    <n v="200"/>
    <s v="AHY"/>
    <s v="M"/>
    <n v="11"/>
    <n v="2011"/>
    <n v="2011"/>
    <n v="7"/>
    <x v="0"/>
    <s v="7B"/>
    <x v="9"/>
    <n v="1"/>
    <n v="7"/>
    <x v="0"/>
    <x v="0"/>
  </r>
  <r>
    <n v="6999"/>
    <n v="107822166"/>
    <s v="Recovery"/>
    <n v="200"/>
    <s v="AHY"/>
    <s v="F"/>
    <n v="9"/>
    <n v="2013"/>
    <n v="2013"/>
    <n v="9"/>
    <x v="0"/>
    <s v="9B"/>
    <x v="4"/>
    <n v="1"/>
    <n v="7"/>
    <x v="0"/>
    <x v="0"/>
  </r>
  <r>
    <n v="7000"/>
    <n v="107822167"/>
    <s v="Recovery"/>
    <n v="200"/>
    <s v="AHY"/>
    <s v="F"/>
    <n v="12"/>
    <n v="2012"/>
    <n v="2012"/>
    <n v="8"/>
    <x v="0"/>
    <s v="8B"/>
    <x v="3"/>
    <n v="1"/>
    <n v="7"/>
    <x v="0"/>
    <x v="0"/>
  </r>
  <r>
    <n v="7001"/>
    <n v="107822168"/>
    <s v="Recovery"/>
    <n v="200"/>
    <s v="AHY"/>
    <s v="M"/>
    <n v="1"/>
    <n v="2013"/>
    <n v="2012"/>
    <n v="8"/>
    <x v="0"/>
    <s v="8B"/>
    <x v="3"/>
    <n v="1"/>
    <n v="7"/>
    <x v="0"/>
    <x v="0"/>
  </r>
  <r>
    <n v="7003"/>
    <n v="107822170"/>
    <s v="Recovery"/>
    <n v="200"/>
    <s v="AHY"/>
    <s v="F"/>
    <n v="12"/>
    <n v="2012"/>
    <n v="2012"/>
    <n v="8"/>
    <x v="0"/>
    <s v="8B"/>
    <x v="3"/>
    <n v="1"/>
    <n v="7"/>
    <x v="0"/>
    <x v="0"/>
  </r>
  <r>
    <n v="7017"/>
    <n v="107822184"/>
    <s v="Recovery"/>
    <n v="200"/>
    <s v="AHY"/>
    <s v="M"/>
    <n v="1"/>
    <n v="2018"/>
    <n v="2017"/>
    <n v="13"/>
    <x v="0"/>
    <s v="13B"/>
    <x v="13"/>
    <n v="1"/>
    <n v="7"/>
    <x v="0"/>
    <x v="0"/>
  </r>
  <r>
    <n v="7021"/>
    <n v="107822188"/>
    <s v="Recovery"/>
    <n v="200"/>
    <s v="AHY"/>
    <s v="M"/>
    <n v="9"/>
    <n v="2011"/>
    <n v="2011"/>
    <n v="7"/>
    <x v="0"/>
    <s v="7B"/>
    <x v="9"/>
    <n v="1"/>
    <n v="7"/>
    <x v="0"/>
    <x v="0"/>
  </r>
  <r>
    <n v="7022"/>
    <n v="107822189"/>
    <s v="Recovery"/>
    <n v="200"/>
    <s v="AHY"/>
    <s v="M"/>
    <n v="9"/>
    <n v="2010"/>
    <n v="2010"/>
    <n v="6"/>
    <x v="0"/>
    <s v="6B"/>
    <x v="2"/>
    <n v="1"/>
    <n v="7"/>
    <x v="0"/>
    <x v="0"/>
  </r>
  <r>
    <n v="7023"/>
    <n v="107822190"/>
    <s v="Recovery"/>
    <n v="200"/>
    <s v="AHY"/>
    <s v="M"/>
    <n v="12"/>
    <n v="2020"/>
    <n v="2020"/>
    <n v="16"/>
    <x v="0"/>
    <s v="16B"/>
    <x v="15"/>
    <n v="1"/>
    <n v="7"/>
    <x v="0"/>
    <x v="0"/>
  </r>
  <r>
    <n v="7024"/>
    <n v="107822191"/>
    <s v="Recovery"/>
    <n v="200"/>
    <s v="AHY"/>
    <s v="F"/>
    <n v="1"/>
    <n v="2012"/>
    <n v="2011"/>
    <n v="7"/>
    <x v="0"/>
    <s v="7B"/>
    <x v="9"/>
    <n v="1"/>
    <n v="7"/>
    <x v="0"/>
    <x v="0"/>
  </r>
  <r>
    <n v="7028"/>
    <n v="107822195"/>
    <s v="Recovery"/>
    <n v="200"/>
    <s v="AHY"/>
    <s v="M"/>
    <n v="10"/>
    <n v="2010"/>
    <n v="2010"/>
    <n v="6"/>
    <x v="0"/>
    <s v="6B"/>
    <x v="2"/>
    <n v="1"/>
    <n v="52"/>
    <x v="11"/>
    <x v="1"/>
  </r>
  <r>
    <n v="7038"/>
    <n v="107822205"/>
    <s v="Recovery"/>
    <n v="200"/>
    <s v="AHY"/>
    <s v="M"/>
    <n v="11"/>
    <n v="2012"/>
    <n v="2012"/>
    <n v="8"/>
    <x v="0"/>
    <s v="8B"/>
    <x v="3"/>
    <n v="1"/>
    <n v="7"/>
    <x v="0"/>
    <x v="0"/>
  </r>
  <r>
    <n v="7083"/>
    <n v="107822250"/>
    <s v="Recovery"/>
    <n v="200"/>
    <s v="AHY"/>
    <s v="M"/>
    <n v="9"/>
    <n v="2010"/>
    <n v="2010"/>
    <n v="6"/>
    <x v="0"/>
    <s v="6B"/>
    <x v="2"/>
    <n v="1"/>
    <n v="67"/>
    <x v="2"/>
    <x v="1"/>
  </r>
  <r>
    <n v="7115"/>
    <n v="107822282"/>
    <s v="Recovery"/>
    <n v="200"/>
    <s v="AHY"/>
    <s v="M"/>
    <n v="1"/>
    <n v="2012"/>
    <n v="2011"/>
    <n v="7"/>
    <x v="0"/>
    <s v="7B"/>
    <x v="9"/>
    <n v="1"/>
    <n v="52"/>
    <x v="11"/>
    <x v="1"/>
  </r>
  <r>
    <n v="7125"/>
    <n v="107822292"/>
    <s v="Recovery"/>
    <n v="200"/>
    <s v="AHY"/>
    <s v="M"/>
    <n v="11"/>
    <n v="2011"/>
    <n v="2011"/>
    <n v="7"/>
    <x v="0"/>
    <s v="7B"/>
    <x v="9"/>
    <n v="1"/>
    <n v="38"/>
    <x v="7"/>
    <x v="1"/>
  </r>
  <r>
    <n v="7131"/>
    <n v="107822298"/>
    <s v="Recovery"/>
    <n v="200"/>
    <s v="AHY"/>
    <s v="F"/>
    <n v="1"/>
    <n v="2012"/>
    <n v="2011"/>
    <n v="7"/>
    <x v="0"/>
    <s v="7B"/>
    <x v="9"/>
    <n v="1"/>
    <n v="52"/>
    <x v="11"/>
    <x v="1"/>
  </r>
  <r>
    <n v="7208"/>
    <n v="107822375"/>
    <s v="Recovery"/>
    <n v="200"/>
    <s v="AHY"/>
    <s v="M"/>
    <n v="1"/>
    <n v="2017"/>
    <n v="2016"/>
    <n v="12"/>
    <x v="0"/>
    <s v="12B"/>
    <x v="12"/>
    <n v="1"/>
    <n v="7"/>
    <x v="0"/>
    <x v="0"/>
  </r>
  <r>
    <n v="7210"/>
    <n v="107822377"/>
    <s v="Recovery"/>
    <n v="200"/>
    <s v="AHY"/>
    <s v="M"/>
    <n v="1"/>
    <n v="2016"/>
    <n v="2015"/>
    <n v="11"/>
    <x v="0"/>
    <s v="11B"/>
    <x v="14"/>
    <n v="1"/>
    <n v="7"/>
    <x v="0"/>
    <x v="0"/>
  </r>
  <r>
    <n v="7215"/>
    <n v="107822382"/>
    <s v="Recovery"/>
    <n v="200"/>
    <s v="AHY"/>
    <s v="F"/>
    <n v="12"/>
    <n v="2013"/>
    <n v="2013"/>
    <n v="9"/>
    <x v="0"/>
    <s v="9B"/>
    <x v="4"/>
    <n v="1"/>
    <n v="7"/>
    <x v="0"/>
    <x v="0"/>
  </r>
  <r>
    <n v="7218"/>
    <n v="107822385"/>
    <s v="Recovery"/>
    <n v="200"/>
    <s v="AHY"/>
    <s v="F"/>
    <n v="9"/>
    <n v="2011"/>
    <n v="2011"/>
    <n v="7"/>
    <x v="0"/>
    <s v="7B"/>
    <x v="9"/>
    <n v="1"/>
    <n v="7"/>
    <x v="0"/>
    <x v="0"/>
  </r>
  <r>
    <n v="7220"/>
    <n v="107822387"/>
    <s v="Recovery"/>
    <n v="200"/>
    <s v="AHY"/>
    <s v="M"/>
    <n v="9"/>
    <n v="2011"/>
    <n v="2011"/>
    <n v="7"/>
    <x v="0"/>
    <s v="7B"/>
    <x v="9"/>
    <n v="1"/>
    <n v="7"/>
    <x v="0"/>
    <x v="0"/>
  </r>
  <r>
    <n v="7225"/>
    <n v="107822392"/>
    <s v="Recovery"/>
    <n v="200"/>
    <s v="AHY"/>
    <s v="M"/>
    <n v="9"/>
    <n v="2011"/>
    <n v="2011"/>
    <n v="7"/>
    <x v="0"/>
    <s v="7B"/>
    <x v="9"/>
    <n v="1"/>
    <n v="7"/>
    <x v="0"/>
    <x v="0"/>
  </r>
  <r>
    <n v="7228"/>
    <n v="107822395"/>
    <s v="Recovery"/>
    <n v="200"/>
    <s v="AHY"/>
    <s v="M"/>
    <n v="1"/>
    <n v="2014"/>
    <n v="2013"/>
    <n v="9"/>
    <x v="0"/>
    <s v="9B"/>
    <x v="4"/>
    <n v="1"/>
    <n v="7"/>
    <x v="0"/>
    <x v="0"/>
  </r>
  <r>
    <n v="7231"/>
    <n v="107822398"/>
    <s v="Recovery"/>
    <n v="200"/>
    <s v="AHY"/>
    <s v="F"/>
    <n v="1"/>
    <n v="2012"/>
    <n v="2011"/>
    <n v="7"/>
    <x v="0"/>
    <s v="7B"/>
    <x v="9"/>
    <n v="1"/>
    <n v="7"/>
    <x v="0"/>
    <x v="0"/>
  </r>
  <r>
    <n v="7236"/>
    <n v="107822403"/>
    <s v="Recovery"/>
    <n v="200"/>
    <s v="AHY"/>
    <s v="M"/>
    <n v="9"/>
    <n v="2011"/>
    <n v="2011"/>
    <n v="7"/>
    <x v="0"/>
    <s v="7B"/>
    <x v="9"/>
    <n v="1"/>
    <n v="7"/>
    <x v="0"/>
    <x v="0"/>
  </r>
  <r>
    <n v="7241"/>
    <n v="107822408"/>
    <s v="Recovery"/>
    <n v="200"/>
    <s v="AHY"/>
    <s v="M"/>
    <n v="1"/>
    <n v="2016"/>
    <n v="2015"/>
    <n v="11"/>
    <x v="0"/>
    <s v="11B"/>
    <x v="14"/>
    <n v="1"/>
    <n v="7"/>
    <x v="0"/>
    <x v="0"/>
  </r>
  <r>
    <n v="7243"/>
    <n v="107822410"/>
    <s v="Recovery"/>
    <n v="200"/>
    <s v="AHY"/>
    <s v="M"/>
    <n v="12"/>
    <n v="2012"/>
    <n v="2012"/>
    <n v="8"/>
    <x v="0"/>
    <s v="8B"/>
    <x v="3"/>
    <n v="1"/>
    <n v="7"/>
    <x v="0"/>
    <x v="0"/>
  </r>
  <r>
    <n v="7260"/>
    <n v="107822427"/>
    <s v="Recovery"/>
    <n v="200"/>
    <s v="AHY"/>
    <s v="F"/>
    <n v="12"/>
    <n v="2018"/>
    <n v="2018"/>
    <n v="14"/>
    <x v="0"/>
    <s v="14B"/>
    <x v="10"/>
    <n v="1"/>
    <n v="7"/>
    <x v="0"/>
    <x v="0"/>
  </r>
  <r>
    <n v="7262"/>
    <n v="107822429"/>
    <s v="Recovery"/>
    <n v="200"/>
    <s v="AHY"/>
    <s v="F"/>
    <n v="1"/>
    <n v="2012"/>
    <n v="2011"/>
    <n v="7"/>
    <x v="0"/>
    <s v="7B"/>
    <x v="9"/>
    <n v="1"/>
    <n v="7"/>
    <x v="0"/>
    <x v="0"/>
  </r>
  <r>
    <n v="7265"/>
    <n v="107822432"/>
    <s v="Recovery"/>
    <n v="200"/>
    <s v="AHY"/>
    <s v="M"/>
    <n v="1"/>
    <n v="2014"/>
    <n v="2013"/>
    <n v="9"/>
    <x v="0"/>
    <s v="9B"/>
    <x v="4"/>
    <n v="1"/>
    <n v="7"/>
    <x v="0"/>
    <x v="0"/>
  </r>
  <r>
    <n v="7277"/>
    <n v="107822444"/>
    <s v="Recovery"/>
    <n v="200"/>
    <s v="AHY"/>
    <s v="F"/>
    <n v="9"/>
    <n v="2014"/>
    <n v="2014"/>
    <n v="10"/>
    <x v="0"/>
    <s v="10B"/>
    <x v="7"/>
    <n v="1"/>
    <n v="7"/>
    <x v="0"/>
    <x v="0"/>
  </r>
  <r>
    <n v="7279"/>
    <n v="107822446"/>
    <s v="Recovery"/>
    <n v="200"/>
    <s v="AHY"/>
    <s v="M"/>
    <n v="11"/>
    <n v="2014"/>
    <n v="2014"/>
    <n v="10"/>
    <x v="0"/>
    <s v="10B"/>
    <x v="7"/>
    <n v="1"/>
    <n v="7"/>
    <x v="0"/>
    <x v="0"/>
  </r>
  <r>
    <n v="7284"/>
    <n v="107822451"/>
    <s v="Recovery"/>
    <n v="200"/>
    <s v="AHY"/>
    <s v="M"/>
    <n v="1"/>
    <n v="2014"/>
    <n v="2013"/>
    <n v="9"/>
    <x v="0"/>
    <s v="9B"/>
    <x v="4"/>
    <n v="1"/>
    <n v="7"/>
    <x v="0"/>
    <x v="0"/>
  </r>
  <r>
    <n v="7289"/>
    <n v="107822456"/>
    <s v="Recovery"/>
    <n v="200"/>
    <s v="AHY"/>
    <s v="M"/>
    <n v="12"/>
    <n v="2012"/>
    <n v="2012"/>
    <n v="8"/>
    <x v="0"/>
    <s v="8B"/>
    <x v="3"/>
    <n v="1"/>
    <n v="7"/>
    <x v="0"/>
    <x v="0"/>
  </r>
  <r>
    <n v="7292"/>
    <n v="107822459"/>
    <s v="Recovery"/>
    <n v="200"/>
    <s v="AHY"/>
    <s v="F"/>
    <n v="1"/>
    <n v="2012"/>
    <n v="2011"/>
    <n v="7"/>
    <x v="0"/>
    <s v="7B"/>
    <x v="9"/>
    <n v="1"/>
    <n v="7"/>
    <x v="0"/>
    <x v="0"/>
  </r>
  <r>
    <n v="7293"/>
    <n v="107822460"/>
    <s v="Recovery"/>
    <n v="200"/>
    <s v="AHY"/>
    <s v="M"/>
    <n v="12"/>
    <n v="2013"/>
    <n v="2013"/>
    <n v="9"/>
    <x v="0"/>
    <s v="9B"/>
    <x v="4"/>
    <n v="1"/>
    <n v="7"/>
    <x v="0"/>
    <x v="0"/>
  </r>
  <r>
    <n v="7295"/>
    <n v="107822462"/>
    <s v="Recovery"/>
    <n v="200"/>
    <s v="AHY"/>
    <s v="M"/>
    <n v="10"/>
    <n v="2019"/>
    <n v="2019"/>
    <n v="15"/>
    <x v="0"/>
    <s v="15B"/>
    <x v="11"/>
    <n v="1"/>
    <n v="7"/>
    <x v="0"/>
    <x v="0"/>
  </r>
  <r>
    <n v="7299"/>
    <n v="107822466"/>
    <s v="Recovery"/>
    <n v="200"/>
    <s v="AHY"/>
    <s v="F"/>
    <n v="12"/>
    <n v="2016"/>
    <n v="2016"/>
    <n v="12"/>
    <x v="0"/>
    <s v="12B"/>
    <x v="12"/>
    <n v="1"/>
    <n v="7"/>
    <x v="0"/>
    <x v="0"/>
  </r>
  <r>
    <n v="7301"/>
    <n v="107822468"/>
    <s v="Recovery"/>
    <n v="200"/>
    <s v="AHY"/>
    <s v="M"/>
    <n v="12"/>
    <n v="2015"/>
    <n v="2015"/>
    <n v="11"/>
    <x v="0"/>
    <s v="11B"/>
    <x v="14"/>
    <n v="1"/>
    <n v="7"/>
    <x v="0"/>
    <x v="0"/>
  </r>
  <r>
    <n v="7310"/>
    <n v="107822477"/>
    <s v="Recovery"/>
    <n v="200"/>
    <s v="AHY"/>
    <s v="F"/>
    <n v="1"/>
    <n v="2012"/>
    <n v="2011"/>
    <n v="7"/>
    <x v="0"/>
    <s v="7B"/>
    <x v="9"/>
    <n v="1"/>
    <n v="7"/>
    <x v="0"/>
    <x v="0"/>
  </r>
  <r>
    <n v="7333"/>
    <n v="107822500"/>
    <s v="Recovery"/>
    <n v="200"/>
    <s v="AHY"/>
    <s v="M"/>
    <n v="1"/>
    <n v="2015"/>
    <n v="2014"/>
    <n v="10"/>
    <x v="0"/>
    <s v="10B"/>
    <x v="7"/>
    <n v="1"/>
    <n v="7"/>
    <x v="0"/>
    <x v="0"/>
  </r>
  <r>
    <n v="7336"/>
    <n v="113831303"/>
    <s v="Recovery"/>
    <n v="200"/>
    <s v="AHY"/>
    <s v="F"/>
    <n v="9"/>
    <n v="2016"/>
    <n v="2016"/>
    <n v="12"/>
    <x v="0"/>
    <s v="12B"/>
    <x v="12"/>
    <n v="1"/>
    <n v="7"/>
    <x v="0"/>
    <x v="0"/>
  </r>
  <r>
    <n v="7340"/>
    <n v="113831307"/>
    <s v="Recovery"/>
    <n v="200"/>
    <s v="AHY"/>
    <s v="M"/>
    <n v="1"/>
    <n v="2012"/>
    <n v="2011"/>
    <n v="7"/>
    <x v="0"/>
    <s v="7B"/>
    <x v="9"/>
    <n v="1"/>
    <n v="7"/>
    <x v="0"/>
    <x v="0"/>
  </r>
  <r>
    <n v="7344"/>
    <n v="113831311"/>
    <s v="Recovery"/>
    <n v="200"/>
    <s v="AHY"/>
    <s v="M"/>
    <n v="1"/>
    <n v="2018"/>
    <n v="2017"/>
    <n v="13"/>
    <x v="0"/>
    <s v="13B"/>
    <x v="13"/>
    <n v="1"/>
    <n v="7"/>
    <x v="0"/>
    <x v="0"/>
  </r>
  <r>
    <n v="7351"/>
    <n v="113831318"/>
    <s v="Recovery"/>
    <n v="200"/>
    <s v="AHY"/>
    <s v="F"/>
    <n v="1"/>
    <n v="2016"/>
    <n v="2015"/>
    <n v="11"/>
    <x v="0"/>
    <s v="11B"/>
    <x v="14"/>
    <n v="1"/>
    <n v="7"/>
    <x v="0"/>
    <x v="0"/>
  </r>
  <r>
    <n v="7359"/>
    <n v="113831326"/>
    <s v="Recovery"/>
    <n v="200"/>
    <s v="AHY"/>
    <s v="M"/>
    <n v="9"/>
    <n v="2015"/>
    <n v="2015"/>
    <n v="11"/>
    <x v="0"/>
    <s v="11B"/>
    <x v="14"/>
    <n v="1"/>
    <n v="7"/>
    <x v="0"/>
    <x v="0"/>
  </r>
  <r>
    <n v="7360"/>
    <n v="113831327"/>
    <s v="Recovery"/>
    <n v="200"/>
    <s v="AHY"/>
    <s v="F"/>
    <n v="12"/>
    <n v="2011"/>
    <n v="2011"/>
    <n v="7"/>
    <x v="0"/>
    <s v="7B"/>
    <x v="9"/>
    <n v="1"/>
    <n v="7"/>
    <x v="0"/>
    <x v="0"/>
  </r>
  <r>
    <n v="7371"/>
    <n v="113831338"/>
    <s v="Recovery"/>
    <n v="200"/>
    <s v="AHY"/>
    <s v="F"/>
    <n v="1"/>
    <n v="2012"/>
    <n v="2011"/>
    <n v="7"/>
    <x v="0"/>
    <s v="7B"/>
    <x v="9"/>
    <n v="1"/>
    <n v="7"/>
    <x v="0"/>
    <x v="0"/>
  </r>
  <r>
    <n v="7372"/>
    <n v="113831339"/>
    <s v="Recovery"/>
    <n v="200"/>
    <s v="AHY"/>
    <s v="F"/>
    <n v="1"/>
    <n v="2012"/>
    <n v="2011"/>
    <n v="7"/>
    <x v="0"/>
    <s v="7B"/>
    <x v="9"/>
    <n v="1"/>
    <n v="7"/>
    <x v="0"/>
    <x v="0"/>
  </r>
  <r>
    <n v="7376"/>
    <n v="113831343"/>
    <s v="Recovery"/>
    <n v="200"/>
    <s v="AHY"/>
    <s v="F"/>
    <n v="9"/>
    <n v="2012"/>
    <n v="2012"/>
    <n v="8"/>
    <x v="0"/>
    <s v="8B"/>
    <x v="3"/>
    <n v="1"/>
    <n v="7"/>
    <x v="0"/>
    <x v="0"/>
  </r>
  <r>
    <n v="7382"/>
    <n v="113831349"/>
    <s v="Recovery"/>
    <n v="200"/>
    <s v="AHY"/>
    <s v="M"/>
    <n v="1"/>
    <n v="2019"/>
    <n v="2018"/>
    <n v="14"/>
    <x v="0"/>
    <s v="14B"/>
    <x v="10"/>
    <n v="1"/>
    <n v="7"/>
    <x v="0"/>
    <x v="0"/>
  </r>
  <r>
    <n v="7411"/>
    <n v="113831378"/>
    <s v="Recovery"/>
    <n v="200"/>
    <s v="AHY"/>
    <s v="F"/>
    <n v="12"/>
    <n v="2012"/>
    <n v="2012"/>
    <n v="8"/>
    <x v="0"/>
    <s v="8B"/>
    <x v="3"/>
    <n v="1"/>
    <n v="7"/>
    <x v="0"/>
    <x v="0"/>
  </r>
  <r>
    <n v="7412"/>
    <n v="113831379"/>
    <s v="Recovery"/>
    <n v="200"/>
    <s v="AHY"/>
    <s v="F"/>
    <n v="1"/>
    <n v="2017"/>
    <n v="2016"/>
    <n v="12"/>
    <x v="0"/>
    <s v="12B"/>
    <x v="12"/>
    <n v="1"/>
    <n v="7"/>
    <x v="0"/>
    <x v="0"/>
  </r>
  <r>
    <n v="7419"/>
    <n v="113831386"/>
    <s v="Recovery"/>
    <n v="200"/>
    <s v="AHY"/>
    <s v="M"/>
    <n v="1"/>
    <n v="2014"/>
    <n v="2013"/>
    <n v="9"/>
    <x v="0"/>
    <s v="9B"/>
    <x v="4"/>
    <n v="1"/>
    <n v="7"/>
    <x v="0"/>
    <x v="0"/>
  </r>
  <r>
    <n v="7422"/>
    <n v="113831389"/>
    <s v="Recovery"/>
    <n v="200"/>
    <s v="AHY"/>
    <s v="F"/>
    <n v="11"/>
    <n v="2011"/>
    <n v="2011"/>
    <n v="7"/>
    <x v="0"/>
    <s v="7B"/>
    <x v="9"/>
    <n v="1"/>
    <n v="7"/>
    <x v="0"/>
    <x v="0"/>
  </r>
  <r>
    <n v="7423"/>
    <n v="113831390"/>
    <s v="Recovery"/>
    <n v="200"/>
    <s v="AHY"/>
    <s v="F"/>
    <n v="9"/>
    <n v="2011"/>
    <n v="2011"/>
    <n v="7"/>
    <x v="0"/>
    <s v="7B"/>
    <x v="9"/>
    <n v="1"/>
    <n v="7"/>
    <x v="0"/>
    <x v="0"/>
  </r>
  <r>
    <n v="7424"/>
    <n v="113831391"/>
    <s v="Recovery"/>
    <n v="200"/>
    <s v="AHY"/>
    <s v="F"/>
    <n v="9"/>
    <n v="2011"/>
    <n v="2011"/>
    <n v="7"/>
    <x v="0"/>
    <s v="7B"/>
    <x v="9"/>
    <n v="1"/>
    <n v="7"/>
    <x v="0"/>
    <x v="0"/>
  </r>
  <r>
    <n v="7426"/>
    <n v="113831393"/>
    <s v="Recovery"/>
    <n v="200"/>
    <s v="AHY"/>
    <s v="F"/>
    <n v="9"/>
    <n v="2011"/>
    <n v="2011"/>
    <n v="7"/>
    <x v="0"/>
    <s v="7B"/>
    <x v="9"/>
    <n v="1"/>
    <n v="7"/>
    <x v="0"/>
    <x v="0"/>
  </r>
  <r>
    <n v="7429"/>
    <n v="113831396"/>
    <s v="Recovery"/>
    <n v="200"/>
    <s v="AHY"/>
    <s v="M"/>
    <n v="12"/>
    <n v="2012"/>
    <n v="2012"/>
    <n v="8"/>
    <x v="0"/>
    <s v="8B"/>
    <x v="3"/>
    <n v="1"/>
    <n v="7"/>
    <x v="0"/>
    <x v="0"/>
  </r>
  <r>
    <n v="7434"/>
    <n v="113831401"/>
    <s v="Recovery"/>
    <n v="200"/>
    <s v="AHY"/>
    <s v="M"/>
    <n v="1"/>
    <n v="2014"/>
    <n v="2013"/>
    <n v="9"/>
    <x v="0"/>
    <s v="9B"/>
    <x v="4"/>
    <n v="1"/>
    <n v="7"/>
    <x v="0"/>
    <x v="0"/>
  </r>
  <r>
    <n v="7441"/>
    <n v="113831408"/>
    <s v="Recovery"/>
    <n v="200"/>
    <s v="AHY"/>
    <s v="F"/>
    <n v="11"/>
    <n v="2011"/>
    <n v="2011"/>
    <n v="7"/>
    <x v="0"/>
    <s v="7B"/>
    <x v="9"/>
    <n v="1"/>
    <n v="7"/>
    <x v="0"/>
    <x v="0"/>
  </r>
  <r>
    <n v="7444"/>
    <n v="113831411"/>
    <s v="Recovery"/>
    <n v="200"/>
    <s v="AHY"/>
    <s v="F"/>
    <n v="1"/>
    <n v="2021"/>
    <n v="2020"/>
    <n v="16"/>
    <x v="0"/>
    <s v="16B"/>
    <x v="15"/>
    <n v="1"/>
    <n v="7"/>
    <x v="0"/>
    <x v="0"/>
  </r>
  <r>
    <n v="7445"/>
    <n v="113831412"/>
    <s v="Recovery"/>
    <n v="200"/>
    <s v="AHY"/>
    <s v="F"/>
    <n v="1"/>
    <n v="2012"/>
    <n v="2011"/>
    <n v="7"/>
    <x v="0"/>
    <s v="7B"/>
    <x v="9"/>
    <n v="1"/>
    <n v="7"/>
    <x v="0"/>
    <x v="0"/>
  </r>
  <r>
    <n v="7447"/>
    <n v="113831414"/>
    <s v="Recovery"/>
    <n v="200"/>
    <s v="AHY"/>
    <s v="F"/>
    <n v="9"/>
    <n v="2012"/>
    <n v="2012"/>
    <n v="8"/>
    <x v="0"/>
    <s v="8B"/>
    <x v="3"/>
    <n v="1"/>
    <n v="7"/>
    <x v="0"/>
    <x v="0"/>
  </r>
  <r>
    <n v="7450"/>
    <n v="113831417"/>
    <s v="Recovery"/>
    <n v="200"/>
    <s v="AHY"/>
    <s v="U"/>
    <n v="1"/>
    <n v="2021"/>
    <n v="2020"/>
    <n v="16"/>
    <x v="0"/>
    <s v="16B"/>
    <x v="15"/>
    <n v="1"/>
    <n v="7"/>
    <x v="0"/>
    <x v="0"/>
  </r>
  <r>
    <n v="7454"/>
    <n v="113831421"/>
    <s v="Recovery"/>
    <n v="200"/>
    <s v="AHY"/>
    <s v="M"/>
    <n v="11"/>
    <n v="2013"/>
    <n v="2013"/>
    <n v="9"/>
    <x v="0"/>
    <s v="9B"/>
    <x v="4"/>
    <n v="1"/>
    <n v="7"/>
    <x v="0"/>
    <x v="0"/>
  </r>
  <r>
    <n v="7455"/>
    <n v="113831422"/>
    <s v="Recovery"/>
    <n v="200"/>
    <s v="AHY"/>
    <s v="F"/>
    <n v="1"/>
    <n v="2014"/>
    <n v="2013"/>
    <n v="9"/>
    <x v="0"/>
    <s v="9B"/>
    <x v="4"/>
    <n v="1"/>
    <n v="7"/>
    <x v="0"/>
    <x v="0"/>
  </r>
  <r>
    <n v="7461"/>
    <n v="113831428"/>
    <s v="Recovery"/>
    <n v="200"/>
    <s v="AHY"/>
    <s v="M"/>
    <n v="1"/>
    <n v="2015"/>
    <n v="2014"/>
    <n v="10"/>
    <x v="0"/>
    <s v="10B"/>
    <x v="7"/>
    <n v="1"/>
    <n v="7"/>
    <x v="0"/>
    <x v="0"/>
  </r>
  <r>
    <n v="7463"/>
    <n v="113831430"/>
    <s v="Recovery"/>
    <n v="200"/>
    <s v="AHY"/>
    <s v="M"/>
    <n v="9"/>
    <n v="2012"/>
    <n v="2012"/>
    <n v="8"/>
    <x v="0"/>
    <s v="8B"/>
    <x v="3"/>
    <n v="1"/>
    <n v="7"/>
    <x v="0"/>
    <x v="0"/>
  </r>
  <r>
    <n v="7466"/>
    <n v="113831433"/>
    <s v="Recovery"/>
    <n v="200"/>
    <s v="AHY"/>
    <s v="F"/>
    <n v="9"/>
    <n v="2012"/>
    <n v="2012"/>
    <n v="8"/>
    <x v="0"/>
    <s v="8B"/>
    <x v="3"/>
    <n v="1"/>
    <n v="7"/>
    <x v="0"/>
    <x v="0"/>
  </r>
  <r>
    <n v="7467"/>
    <n v="113831434"/>
    <s v="Recovery"/>
    <n v="200"/>
    <s v="AHY"/>
    <s v="F"/>
    <n v="1"/>
    <n v="2013"/>
    <n v="2012"/>
    <n v="8"/>
    <x v="0"/>
    <s v="8B"/>
    <x v="3"/>
    <n v="1"/>
    <n v="7"/>
    <x v="0"/>
    <x v="0"/>
  </r>
  <r>
    <n v="7468"/>
    <n v="113831435"/>
    <s v="Recovery"/>
    <n v="200"/>
    <s v="AHY"/>
    <s v="F"/>
    <n v="9"/>
    <n v="2012"/>
    <n v="2012"/>
    <n v="8"/>
    <x v="0"/>
    <s v="8B"/>
    <x v="3"/>
    <n v="1"/>
    <n v="7"/>
    <x v="0"/>
    <x v="0"/>
  </r>
  <r>
    <n v="7472"/>
    <n v="113831439"/>
    <s v="Recovery"/>
    <n v="200"/>
    <s v="AHY"/>
    <s v="F"/>
    <n v="9"/>
    <n v="2018"/>
    <n v="2018"/>
    <n v="14"/>
    <x v="0"/>
    <s v="14B"/>
    <x v="10"/>
    <n v="1"/>
    <n v="7"/>
    <x v="0"/>
    <x v="0"/>
  </r>
  <r>
    <n v="7473"/>
    <n v="113831440"/>
    <s v="Recovery"/>
    <n v="200"/>
    <s v="AHY"/>
    <s v="M"/>
    <n v="10"/>
    <n v="2013"/>
    <n v="2013"/>
    <n v="9"/>
    <x v="0"/>
    <s v="9B"/>
    <x v="4"/>
    <n v="1"/>
    <n v="7"/>
    <x v="0"/>
    <x v="0"/>
  </r>
  <r>
    <n v="7476"/>
    <n v="113831443"/>
    <s v="Recovery"/>
    <n v="200"/>
    <s v="AHY"/>
    <s v="M"/>
    <n v="12"/>
    <n v="2013"/>
    <n v="2013"/>
    <n v="9"/>
    <x v="0"/>
    <s v="9B"/>
    <x v="4"/>
    <n v="1"/>
    <n v="7"/>
    <x v="0"/>
    <x v="0"/>
  </r>
  <r>
    <n v="7480"/>
    <n v="113831447"/>
    <s v="Recovery"/>
    <n v="200"/>
    <s v="AHY"/>
    <s v="F"/>
    <n v="11"/>
    <n v="2013"/>
    <n v="2013"/>
    <n v="9"/>
    <x v="0"/>
    <s v="9B"/>
    <x v="4"/>
    <n v="1"/>
    <n v="7"/>
    <x v="0"/>
    <x v="0"/>
  </r>
  <r>
    <n v="7483"/>
    <n v="113831450"/>
    <s v="Recovery"/>
    <n v="200"/>
    <s v="AHY"/>
    <s v="M"/>
    <n v="9"/>
    <n v="2011"/>
    <n v="2011"/>
    <n v="7"/>
    <x v="0"/>
    <s v="7B"/>
    <x v="9"/>
    <n v="1"/>
    <n v="7"/>
    <x v="0"/>
    <x v="0"/>
  </r>
  <r>
    <n v="7485"/>
    <n v="113831452"/>
    <s v="Recovery"/>
    <n v="200"/>
    <s v="AHY"/>
    <s v="F"/>
    <n v="1"/>
    <n v="2012"/>
    <n v="2011"/>
    <n v="7"/>
    <x v="0"/>
    <s v="7B"/>
    <x v="9"/>
    <n v="1"/>
    <n v="7"/>
    <x v="0"/>
    <x v="0"/>
  </r>
  <r>
    <n v="7495"/>
    <n v="113831462"/>
    <s v="Recovery"/>
    <n v="200"/>
    <s v="AHY"/>
    <s v="F"/>
    <n v="1"/>
    <n v="2014"/>
    <n v="2013"/>
    <n v="9"/>
    <x v="0"/>
    <s v="9B"/>
    <x v="4"/>
    <n v="1"/>
    <n v="7"/>
    <x v="0"/>
    <x v="0"/>
  </r>
  <r>
    <n v="7501"/>
    <n v="113831468"/>
    <s v="Recovery"/>
    <n v="200"/>
    <s v="AHY"/>
    <s v="M"/>
    <n v="9"/>
    <n v="2018"/>
    <n v="2018"/>
    <n v="14"/>
    <x v="0"/>
    <s v="14B"/>
    <x v="10"/>
    <n v="1"/>
    <n v="7"/>
    <x v="0"/>
    <x v="0"/>
  </r>
  <r>
    <n v="7508"/>
    <n v="113831475"/>
    <s v="Recovery"/>
    <n v="200"/>
    <s v="AHY"/>
    <s v="M"/>
    <n v="1"/>
    <n v="2015"/>
    <n v="2014"/>
    <n v="10"/>
    <x v="0"/>
    <s v="10B"/>
    <x v="7"/>
    <n v="1"/>
    <n v="7"/>
    <x v="0"/>
    <x v="0"/>
  </r>
  <r>
    <n v="7509"/>
    <n v="113831476"/>
    <s v="Recovery"/>
    <n v="200"/>
    <s v="AHY"/>
    <s v="F"/>
    <n v="12"/>
    <n v="2013"/>
    <n v="2013"/>
    <n v="9"/>
    <x v="0"/>
    <s v="9B"/>
    <x v="4"/>
    <n v="1"/>
    <n v="7"/>
    <x v="0"/>
    <x v="0"/>
  </r>
  <r>
    <n v="7511"/>
    <n v="113831478"/>
    <s v="Recovery"/>
    <n v="200"/>
    <s v="AHY"/>
    <s v="F"/>
    <n v="12"/>
    <n v="2013"/>
    <n v="2013"/>
    <n v="9"/>
    <x v="0"/>
    <s v="9B"/>
    <x v="4"/>
    <n v="1"/>
    <n v="7"/>
    <x v="0"/>
    <x v="0"/>
  </r>
  <r>
    <n v="7513"/>
    <n v="113831480"/>
    <s v="Recovery"/>
    <n v="200"/>
    <s v="AHY"/>
    <s v="F"/>
    <n v="12"/>
    <n v="2012"/>
    <n v="2012"/>
    <n v="8"/>
    <x v="0"/>
    <s v="8B"/>
    <x v="3"/>
    <n v="1"/>
    <n v="7"/>
    <x v="0"/>
    <x v="0"/>
  </r>
  <r>
    <n v="7517"/>
    <n v="113831484"/>
    <s v="Recovery"/>
    <n v="200"/>
    <s v="AHY"/>
    <s v="F"/>
    <n v="9"/>
    <n v="2018"/>
    <n v="2018"/>
    <n v="14"/>
    <x v="0"/>
    <s v="14B"/>
    <x v="10"/>
    <n v="1"/>
    <n v="7"/>
    <x v="0"/>
    <x v="0"/>
  </r>
  <r>
    <n v="7519"/>
    <n v="113831486"/>
    <s v="Recovery"/>
    <n v="200"/>
    <s v="AHY"/>
    <s v="M"/>
    <n v="9"/>
    <n v="2011"/>
    <n v="2011"/>
    <n v="7"/>
    <x v="0"/>
    <s v="7B"/>
    <x v="9"/>
    <n v="1"/>
    <n v="7"/>
    <x v="0"/>
    <x v="0"/>
  </r>
  <r>
    <n v="7523"/>
    <n v="113831490"/>
    <s v="Recovery"/>
    <n v="200"/>
    <s v="AHY"/>
    <s v="F"/>
    <n v="9"/>
    <n v="2012"/>
    <n v="2012"/>
    <n v="8"/>
    <x v="0"/>
    <s v="8B"/>
    <x v="3"/>
    <n v="1"/>
    <n v="7"/>
    <x v="0"/>
    <x v="0"/>
  </r>
  <r>
    <n v="7537"/>
    <n v="113831504"/>
    <s v="Recovery"/>
    <n v="200"/>
    <s v="AHY"/>
    <s v="F"/>
    <n v="1"/>
    <n v="2012"/>
    <n v="2011"/>
    <n v="7"/>
    <x v="0"/>
    <s v="7B"/>
    <x v="9"/>
    <n v="1"/>
    <n v="7"/>
    <x v="0"/>
    <x v="0"/>
  </r>
  <r>
    <n v="7539"/>
    <n v="113831506"/>
    <s v="Recovery"/>
    <n v="200"/>
    <s v="AHY"/>
    <s v="F"/>
    <n v="1"/>
    <n v="2014"/>
    <n v="2013"/>
    <n v="9"/>
    <x v="0"/>
    <s v="9B"/>
    <x v="4"/>
    <n v="1"/>
    <n v="7"/>
    <x v="0"/>
    <x v="0"/>
  </r>
  <r>
    <n v="7540"/>
    <n v="113831507"/>
    <s v="Recovery"/>
    <n v="200"/>
    <s v="AHY"/>
    <s v="M"/>
    <n v="11"/>
    <n v="2015"/>
    <n v="2015"/>
    <n v="11"/>
    <x v="0"/>
    <s v="11B"/>
    <x v="14"/>
    <n v="1"/>
    <n v="7"/>
    <x v="0"/>
    <x v="0"/>
  </r>
  <r>
    <n v="7543"/>
    <n v="113831510"/>
    <s v="Recovery"/>
    <n v="200"/>
    <s v="AHY"/>
    <s v="F"/>
    <n v="1"/>
    <n v="2017"/>
    <n v="2016"/>
    <n v="12"/>
    <x v="0"/>
    <s v="12B"/>
    <x v="12"/>
    <n v="1"/>
    <n v="7"/>
    <x v="0"/>
    <x v="0"/>
  </r>
  <r>
    <n v="7574"/>
    <n v="113831541"/>
    <s v="Recovery"/>
    <n v="200"/>
    <s v="AHY"/>
    <s v="F"/>
    <n v="9"/>
    <n v="2014"/>
    <n v="2014"/>
    <n v="10"/>
    <x v="0"/>
    <s v="10B"/>
    <x v="7"/>
    <n v="1"/>
    <n v="7"/>
    <x v="0"/>
    <x v="0"/>
  </r>
  <r>
    <n v="7580"/>
    <n v="113831547"/>
    <s v="Recovery"/>
    <n v="200"/>
    <s v="AHY"/>
    <s v="F"/>
    <n v="12"/>
    <n v="2012"/>
    <n v="2012"/>
    <n v="8"/>
    <x v="0"/>
    <s v="8B"/>
    <x v="3"/>
    <n v="1"/>
    <n v="7"/>
    <x v="0"/>
    <x v="0"/>
  </r>
  <r>
    <n v="7581"/>
    <n v="113831548"/>
    <s v="Recovery"/>
    <n v="200"/>
    <s v="AHY"/>
    <s v="M"/>
    <n v="11"/>
    <n v="2018"/>
    <n v="2018"/>
    <n v="14"/>
    <x v="0"/>
    <s v="14B"/>
    <x v="10"/>
    <n v="1"/>
    <n v="7"/>
    <x v="0"/>
    <x v="0"/>
  </r>
  <r>
    <n v="7585"/>
    <n v="113831552"/>
    <s v="Recovery"/>
    <n v="200"/>
    <s v="AHY"/>
    <s v="F"/>
    <n v="9"/>
    <n v="2012"/>
    <n v="2012"/>
    <n v="8"/>
    <x v="0"/>
    <s v="8B"/>
    <x v="3"/>
    <n v="1"/>
    <n v="7"/>
    <x v="0"/>
    <x v="0"/>
  </r>
  <r>
    <n v="7587"/>
    <n v="113831554"/>
    <s v="Recovery"/>
    <n v="200"/>
    <s v="AHY"/>
    <s v="F"/>
    <n v="1"/>
    <n v="2014"/>
    <n v="2013"/>
    <n v="9"/>
    <x v="0"/>
    <s v="9B"/>
    <x v="4"/>
    <n v="1"/>
    <n v="7"/>
    <x v="0"/>
    <x v="0"/>
  </r>
  <r>
    <n v="7593"/>
    <n v="113831560"/>
    <s v="Recovery"/>
    <n v="200"/>
    <s v="AHY"/>
    <s v="F"/>
    <n v="9"/>
    <n v="2011"/>
    <n v="2011"/>
    <n v="7"/>
    <x v="0"/>
    <s v="7B"/>
    <x v="9"/>
    <n v="1"/>
    <n v="7"/>
    <x v="0"/>
    <x v="0"/>
  </r>
  <r>
    <n v="7594"/>
    <n v="113831561"/>
    <s v="Recovery"/>
    <n v="200"/>
    <s v="AHY"/>
    <s v="F"/>
    <n v="1"/>
    <n v="2016"/>
    <n v="2015"/>
    <n v="11"/>
    <x v="0"/>
    <s v="11B"/>
    <x v="14"/>
    <n v="1"/>
    <n v="7"/>
    <x v="0"/>
    <x v="0"/>
  </r>
  <r>
    <n v="7595"/>
    <n v="113831562"/>
    <s v="Recovery"/>
    <n v="200"/>
    <s v="AHY"/>
    <s v="M"/>
    <n v="1"/>
    <n v="2017"/>
    <n v="2016"/>
    <n v="12"/>
    <x v="0"/>
    <s v="12B"/>
    <x v="12"/>
    <n v="1"/>
    <n v="7"/>
    <x v="0"/>
    <x v="0"/>
  </r>
  <r>
    <n v="7607"/>
    <n v="113831574"/>
    <s v="Recovery"/>
    <n v="200"/>
    <s v="AHY"/>
    <s v="F"/>
    <n v="9"/>
    <n v="2020"/>
    <n v="2020"/>
    <n v="16"/>
    <x v="0"/>
    <s v="16B"/>
    <x v="15"/>
    <n v="1"/>
    <n v="7"/>
    <x v="0"/>
    <x v="0"/>
  </r>
  <r>
    <n v="7612"/>
    <n v="113831579"/>
    <s v="Recovery"/>
    <n v="200"/>
    <s v="AHY"/>
    <s v="M"/>
    <n v="9"/>
    <n v="2014"/>
    <n v="2014"/>
    <n v="10"/>
    <x v="0"/>
    <s v="10B"/>
    <x v="7"/>
    <n v="1"/>
    <n v="7"/>
    <x v="0"/>
    <x v="0"/>
  </r>
  <r>
    <n v="7618"/>
    <n v="113831585"/>
    <s v="Recovery"/>
    <n v="200"/>
    <s v="AHY"/>
    <s v="M"/>
    <n v="12"/>
    <n v="2014"/>
    <n v="2014"/>
    <n v="10"/>
    <x v="0"/>
    <s v="10B"/>
    <x v="7"/>
    <n v="1"/>
    <n v="7"/>
    <x v="0"/>
    <x v="0"/>
  </r>
  <r>
    <n v="7621"/>
    <n v="113831588"/>
    <s v="Recovery"/>
    <n v="200"/>
    <s v="AHY"/>
    <s v="F"/>
    <n v="1"/>
    <n v="2017"/>
    <n v="2016"/>
    <n v="12"/>
    <x v="0"/>
    <s v="12B"/>
    <x v="12"/>
    <n v="1"/>
    <n v="7"/>
    <x v="0"/>
    <x v="0"/>
  </r>
  <r>
    <n v="7623"/>
    <n v="113831590"/>
    <s v="Recovery"/>
    <n v="200"/>
    <s v="AHY"/>
    <s v="M"/>
    <n v="1"/>
    <n v="2013"/>
    <n v="2012"/>
    <n v="8"/>
    <x v="0"/>
    <s v="8B"/>
    <x v="3"/>
    <n v="1"/>
    <n v="7"/>
    <x v="0"/>
    <x v="0"/>
  </r>
  <r>
    <n v="7625"/>
    <n v="113831592"/>
    <s v="Recovery"/>
    <n v="200"/>
    <s v="AHY"/>
    <s v="M"/>
    <n v="11"/>
    <n v="2014"/>
    <n v="2014"/>
    <n v="10"/>
    <x v="0"/>
    <s v="10B"/>
    <x v="7"/>
    <n v="1"/>
    <n v="7"/>
    <x v="0"/>
    <x v="0"/>
  </r>
  <r>
    <n v="7629"/>
    <n v="113831596"/>
    <s v="Recovery"/>
    <n v="200"/>
    <s v="AHY"/>
    <s v="M"/>
    <n v="9"/>
    <n v="2014"/>
    <n v="2014"/>
    <n v="10"/>
    <x v="0"/>
    <s v="10B"/>
    <x v="7"/>
    <n v="1"/>
    <n v="7"/>
    <x v="0"/>
    <x v="0"/>
  </r>
  <r>
    <n v="7632"/>
    <n v="113831599"/>
    <s v="Recovery"/>
    <n v="200"/>
    <s v="AHY"/>
    <s v="F"/>
    <n v="9"/>
    <n v="2015"/>
    <n v="2015"/>
    <n v="11"/>
    <x v="0"/>
    <s v="11B"/>
    <x v="14"/>
    <n v="1"/>
    <n v="7"/>
    <x v="0"/>
    <x v="0"/>
  </r>
  <r>
    <n v="7633"/>
    <n v="113831600"/>
    <s v="Recovery"/>
    <n v="200"/>
    <s v="AHY"/>
    <s v="M"/>
    <n v="9"/>
    <n v="2015"/>
    <n v="2015"/>
    <n v="11"/>
    <x v="0"/>
    <s v="11B"/>
    <x v="14"/>
    <n v="1"/>
    <n v="7"/>
    <x v="0"/>
    <x v="0"/>
  </r>
  <r>
    <n v="7634"/>
    <n v="113831601"/>
    <s v="Recovery"/>
    <n v="200"/>
    <s v="AHY"/>
    <s v="F"/>
    <n v="12"/>
    <n v="2011"/>
    <n v="2011"/>
    <n v="7"/>
    <x v="0"/>
    <s v="7B"/>
    <x v="9"/>
    <n v="1"/>
    <n v="7"/>
    <x v="0"/>
    <x v="0"/>
  </r>
  <r>
    <n v="7635"/>
    <n v="113831602"/>
    <s v="Recovery"/>
    <n v="200"/>
    <s v="AHY"/>
    <s v="M"/>
    <n v="9"/>
    <n v="2014"/>
    <n v="2014"/>
    <n v="10"/>
    <x v="0"/>
    <s v="10B"/>
    <x v="7"/>
    <n v="1"/>
    <n v="7"/>
    <x v="0"/>
    <x v="0"/>
  </r>
  <r>
    <n v="7644"/>
    <n v="113831611"/>
    <s v="Recovery"/>
    <n v="200"/>
    <s v="AHY"/>
    <s v="F"/>
    <n v="11"/>
    <n v="2013"/>
    <n v="2013"/>
    <n v="9"/>
    <x v="0"/>
    <s v="9B"/>
    <x v="4"/>
    <n v="1"/>
    <n v="7"/>
    <x v="0"/>
    <x v="0"/>
  </r>
  <r>
    <n v="7645"/>
    <n v="113831612"/>
    <s v="Recovery"/>
    <n v="200"/>
    <s v="AHY"/>
    <s v="F"/>
    <n v="9"/>
    <n v="2016"/>
    <n v="2016"/>
    <n v="12"/>
    <x v="0"/>
    <s v="12B"/>
    <x v="12"/>
    <n v="1"/>
    <n v="7"/>
    <x v="0"/>
    <x v="0"/>
  </r>
  <r>
    <n v="7652"/>
    <n v="113831619"/>
    <s v="Recovery"/>
    <n v="200"/>
    <s v="AHY"/>
    <s v="F"/>
    <n v="9"/>
    <n v="2011"/>
    <n v="2011"/>
    <n v="7"/>
    <x v="0"/>
    <s v="7B"/>
    <x v="9"/>
    <n v="1"/>
    <n v="7"/>
    <x v="0"/>
    <x v="0"/>
  </r>
  <r>
    <n v="7653"/>
    <n v="113831620"/>
    <s v="Recovery"/>
    <n v="200"/>
    <s v="AHY"/>
    <s v="F"/>
    <n v="1"/>
    <n v="2018"/>
    <n v="2017"/>
    <n v="13"/>
    <x v="0"/>
    <s v="13B"/>
    <x v="13"/>
    <n v="1"/>
    <n v="7"/>
    <x v="0"/>
    <x v="0"/>
  </r>
  <r>
    <n v="7669"/>
    <n v="113831636"/>
    <s v="Recovery"/>
    <n v="200"/>
    <s v="AHY"/>
    <s v="F"/>
    <n v="12"/>
    <n v="2013"/>
    <n v="2013"/>
    <n v="9"/>
    <x v="0"/>
    <s v="9B"/>
    <x v="4"/>
    <n v="1"/>
    <n v="7"/>
    <x v="0"/>
    <x v="0"/>
  </r>
  <r>
    <n v="7679"/>
    <n v="113831646"/>
    <s v="Recovery"/>
    <n v="200"/>
    <s v="AHY"/>
    <s v="M"/>
    <n v="9"/>
    <n v="2014"/>
    <n v="2014"/>
    <n v="10"/>
    <x v="0"/>
    <s v="10B"/>
    <x v="7"/>
    <n v="1"/>
    <n v="7"/>
    <x v="0"/>
    <x v="0"/>
  </r>
  <r>
    <n v="7683"/>
    <n v="113831650"/>
    <s v="Recovery"/>
    <n v="200"/>
    <s v="AHY"/>
    <s v="M"/>
    <n v="11"/>
    <n v="2016"/>
    <n v="2016"/>
    <n v="12"/>
    <x v="0"/>
    <s v="12B"/>
    <x v="12"/>
    <n v="1"/>
    <n v="7"/>
    <x v="0"/>
    <x v="0"/>
  </r>
  <r>
    <n v="7685"/>
    <n v="113831652"/>
    <s v="Recovery"/>
    <n v="200"/>
    <s v="AHY"/>
    <s v="M"/>
    <n v="1"/>
    <n v="2016"/>
    <n v="2015"/>
    <n v="11"/>
    <x v="0"/>
    <s v="11B"/>
    <x v="14"/>
    <n v="1"/>
    <n v="7"/>
    <x v="0"/>
    <x v="0"/>
  </r>
  <r>
    <n v="7688"/>
    <n v="113831655"/>
    <s v="Recovery"/>
    <n v="200"/>
    <s v="AHY"/>
    <s v="F"/>
    <n v="1"/>
    <n v="2018"/>
    <n v="2017"/>
    <n v="13"/>
    <x v="0"/>
    <s v="13B"/>
    <x v="13"/>
    <n v="1"/>
    <n v="7"/>
    <x v="0"/>
    <x v="0"/>
  </r>
  <r>
    <n v="7693"/>
    <n v="113831660"/>
    <s v="Recovery"/>
    <n v="200"/>
    <s v="AHY"/>
    <s v="F"/>
    <n v="9"/>
    <n v="2011"/>
    <n v="2011"/>
    <n v="7"/>
    <x v="0"/>
    <s v="7B"/>
    <x v="9"/>
    <n v="1"/>
    <n v="7"/>
    <x v="0"/>
    <x v="0"/>
  </r>
  <r>
    <n v="7696"/>
    <n v="113831663"/>
    <s v="Recovery"/>
    <n v="200"/>
    <s v="AHY"/>
    <s v="F"/>
    <n v="1"/>
    <n v="2013"/>
    <n v="2012"/>
    <n v="8"/>
    <x v="0"/>
    <s v="8B"/>
    <x v="3"/>
    <n v="1"/>
    <n v="7"/>
    <x v="0"/>
    <x v="0"/>
  </r>
  <r>
    <n v="7699"/>
    <n v="113831666"/>
    <s v="Recovery"/>
    <n v="200"/>
    <s v="AHY"/>
    <s v="F"/>
    <n v="1"/>
    <n v="2016"/>
    <n v="2015"/>
    <n v="11"/>
    <x v="0"/>
    <s v="11B"/>
    <x v="14"/>
    <n v="1"/>
    <n v="7"/>
    <x v="0"/>
    <x v="0"/>
  </r>
  <r>
    <n v="7700"/>
    <n v="113831667"/>
    <s v="Recovery"/>
    <n v="200"/>
    <s v="AHY"/>
    <s v="F"/>
    <n v="1"/>
    <n v="2012"/>
    <n v="2011"/>
    <n v="7"/>
    <x v="0"/>
    <s v="7B"/>
    <x v="9"/>
    <n v="1"/>
    <n v="7"/>
    <x v="0"/>
    <x v="0"/>
  </r>
  <r>
    <n v="7702"/>
    <n v="113831669"/>
    <s v="Recovery"/>
    <n v="200"/>
    <s v="AHY"/>
    <s v="M"/>
    <n v="1"/>
    <n v="2018"/>
    <n v="2017"/>
    <n v="13"/>
    <x v="0"/>
    <s v="13B"/>
    <x v="13"/>
    <n v="1"/>
    <n v="7"/>
    <x v="0"/>
    <x v="0"/>
  </r>
  <r>
    <n v="7703"/>
    <n v="113831670"/>
    <s v="Recovery"/>
    <n v="200"/>
    <s v="AHY"/>
    <s v="F"/>
    <n v="1"/>
    <n v="2012"/>
    <n v="2011"/>
    <n v="7"/>
    <x v="0"/>
    <s v="7B"/>
    <x v="9"/>
    <n v="1"/>
    <n v="7"/>
    <x v="0"/>
    <x v="0"/>
  </r>
  <r>
    <n v="7704"/>
    <n v="113831671"/>
    <s v="Recovery"/>
    <n v="200"/>
    <s v="AHY"/>
    <s v="M"/>
    <n v="9"/>
    <n v="2014"/>
    <n v="2014"/>
    <n v="10"/>
    <x v="0"/>
    <s v="10B"/>
    <x v="7"/>
    <n v="1"/>
    <n v="7"/>
    <x v="0"/>
    <x v="0"/>
  </r>
  <r>
    <n v="7706"/>
    <n v="113831673"/>
    <s v="Recovery"/>
    <n v="200"/>
    <s v="AHY"/>
    <s v="M"/>
    <n v="9"/>
    <n v="2013"/>
    <n v="2013"/>
    <n v="9"/>
    <x v="0"/>
    <s v="9B"/>
    <x v="4"/>
    <n v="1"/>
    <n v="7"/>
    <x v="0"/>
    <x v="0"/>
  </r>
  <r>
    <n v="7707"/>
    <n v="113831674"/>
    <s v="Recovery"/>
    <n v="200"/>
    <s v="AHY"/>
    <s v="F"/>
    <n v="12"/>
    <n v="2011"/>
    <n v="2011"/>
    <n v="7"/>
    <x v="0"/>
    <s v="7B"/>
    <x v="9"/>
    <n v="1"/>
    <n v="7"/>
    <x v="0"/>
    <x v="0"/>
  </r>
  <r>
    <n v="7709"/>
    <n v="113831676"/>
    <s v="Recovery"/>
    <n v="200"/>
    <s v="AHY"/>
    <s v="M"/>
    <n v="11"/>
    <n v="2014"/>
    <n v="2014"/>
    <n v="10"/>
    <x v="0"/>
    <s v="10B"/>
    <x v="7"/>
    <n v="1"/>
    <n v="7"/>
    <x v="0"/>
    <x v="0"/>
  </r>
  <r>
    <n v="7711"/>
    <n v="113831678"/>
    <s v="Recovery"/>
    <n v="200"/>
    <s v="AHY"/>
    <s v="M"/>
    <n v="9"/>
    <n v="2015"/>
    <n v="2015"/>
    <n v="11"/>
    <x v="0"/>
    <s v="11B"/>
    <x v="14"/>
    <n v="1"/>
    <n v="7"/>
    <x v="0"/>
    <x v="0"/>
  </r>
  <r>
    <n v="7712"/>
    <n v="113831679"/>
    <s v="Recovery"/>
    <n v="200"/>
    <s v="AHY"/>
    <s v="F"/>
    <n v="9"/>
    <n v="2011"/>
    <n v="2011"/>
    <n v="7"/>
    <x v="0"/>
    <s v="7B"/>
    <x v="9"/>
    <n v="1"/>
    <n v="7"/>
    <x v="0"/>
    <x v="0"/>
  </r>
  <r>
    <n v="7713"/>
    <n v="113831680"/>
    <s v="Recovery"/>
    <n v="200"/>
    <s v="AHY"/>
    <s v="F"/>
    <n v="1"/>
    <n v="2012"/>
    <n v="2011"/>
    <n v="7"/>
    <x v="0"/>
    <s v="7B"/>
    <x v="9"/>
    <n v="1"/>
    <n v="7"/>
    <x v="0"/>
    <x v="0"/>
  </r>
  <r>
    <n v="7717"/>
    <n v="113831684"/>
    <s v="Recovery"/>
    <n v="200"/>
    <s v="AHY"/>
    <s v="F"/>
    <n v="9"/>
    <n v="2012"/>
    <n v="2012"/>
    <n v="8"/>
    <x v="0"/>
    <s v="8B"/>
    <x v="3"/>
    <n v="1"/>
    <n v="7"/>
    <x v="0"/>
    <x v="0"/>
  </r>
  <r>
    <n v="7718"/>
    <n v="113831685"/>
    <s v="Recovery"/>
    <n v="200"/>
    <s v="AHY"/>
    <s v="M"/>
    <n v="12"/>
    <n v="2011"/>
    <n v="2011"/>
    <n v="7"/>
    <x v="0"/>
    <s v="7B"/>
    <x v="9"/>
    <n v="1"/>
    <n v="7"/>
    <x v="0"/>
    <x v="0"/>
  </r>
  <r>
    <n v="7720"/>
    <n v="113831687"/>
    <s v="Recovery"/>
    <n v="200"/>
    <s v="AHY"/>
    <s v="F"/>
    <n v="11"/>
    <n v="2012"/>
    <n v="2012"/>
    <n v="8"/>
    <x v="0"/>
    <s v="8B"/>
    <x v="3"/>
    <n v="1"/>
    <n v="7"/>
    <x v="0"/>
    <x v="0"/>
  </r>
  <r>
    <n v="7723"/>
    <n v="113831690"/>
    <s v="Recovery"/>
    <n v="200"/>
    <s v="AHY"/>
    <s v="F"/>
    <n v="1"/>
    <n v="2012"/>
    <n v="2011"/>
    <n v="7"/>
    <x v="0"/>
    <s v="7B"/>
    <x v="9"/>
    <n v="1"/>
    <n v="7"/>
    <x v="0"/>
    <x v="0"/>
  </r>
  <r>
    <n v="7728"/>
    <n v="113831695"/>
    <s v="Recovery"/>
    <n v="200"/>
    <s v="AHY"/>
    <s v="M"/>
    <n v="1"/>
    <n v="2012"/>
    <n v="2011"/>
    <n v="7"/>
    <x v="0"/>
    <s v="7B"/>
    <x v="9"/>
    <n v="1"/>
    <n v="7"/>
    <x v="0"/>
    <x v="0"/>
  </r>
  <r>
    <n v="7729"/>
    <n v="113831696"/>
    <s v="Recovery"/>
    <n v="200"/>
    <s v="AHY"/>
    <s v="F"/>
    <n v="1"/>
    <n v="2012"/>
    <n v="2011"/>
    <n v="7"/>
    <x v="0"/>
    <s v="7B"/>
    <x v="9"/>
    <n v="1"/>
    <n v="7"/>
    <x v="0"/>
    <x v="0"/>
  </r>
  <r>
    <n v="7731"/>
    <n v="113831698"/>
    <s v="Recovery"/>
    <n v="200"/>
    <s v="HY"/>
    <s v="F"/>
    <n v="9"/>
    <n v="2011"/>
    <n v="2011"/>
    <n v="7"/>
    <x v="0"/>
    <s v="7B"/>
    <x v="9"/>
    <n v="1"/>
    <n v="7"/>
    <x v="0"/>
    <x v="0"/>
  </r>
  <r>
    <n v="7736"/>
    <n v="113831703"/>
    <s v="Recovery"/>
    <n v="200"/>
    <s v="AHY"/>
    <s v="M"/>
    <n v="1"/>
    <n v="2012"/>
    <n v="2011"/>
    <n v="7"/>
    <x v="0"/>
    <s v="7B"/>
    <x v="9"/>
    <n v="1"/>
    <n v="7"/>
    <x v="0"/>
    <x v="0"/>
  </r>
  <r>
    <n v="7740"/>
    <n v="113831707"/>
    <s v="Recovery"/>
    <n v="200"/>
    <s v="AHY"/>
    <s v="M"/>
    <n v="1"/>
    <n v="2012"/>
    <n v="2011"/>
    <n v="7"/>
    <x v="0"/>
    <s v="7B"/>
    <x v="9"/>
    <n v="1"/>
    <n v="7"/>
    <x v="0"/>
    <x v="0"/>
  </r>
  <r>
    <n v="7742"/>
    <n v="113831709"/>
    <s v="Recovery"/>
    <n v="200"/>
    <s v="AHY"/>
    <s v="F"/>
    <n v="9"/>
    <n v="2015"/>
    <n v="2015"/>
    <n v="11"/>
    <x v="0"/>
    <s v="11B"/>
    <x v="14"/>
    <n v="1"/>
    <n v="7"/>
    <x v="0"/>
    <x v="0"/>
  </r>
  <r>
    <n v="7749"/>
    <n v="113831716"/>
    <s v="Recovery"/>
    <n v="200"/>
    <s v="AHY"/>
    <s v="M"/>
    <n v="1"/>
    <n v="2016"/>
    <n v="2015"/>
    <n v="11"/>
    <x v="0"/>
    <s v="11B"/>
    <x v="14"/>
    <n v="1"/>
    <n v="7"/>
    <x v="0"/>
    <x v="0"/>
  </r>
  <r>
    <n v="7750"/>
    <n v="113831717"/>
    <s v="Recovery"/>
    <n v="200"/>
    <s v="AHY"/>
    <s v="F"/>
    <n v="9"/>
    <n v="2013"/>
    <n v="2013"/>
    <n v="9"/>
    <x v="0"/>
    <s v="9B"/>
    <x v="4"/>
    <n v="1"/>
    <n v="7"/>
    <x v="0"/>
    <x v="0"/>
  </r>
  <r>
    <n v="7752"/>
    <n v="113831719"/>
    <s v="Recovery"/>
    <n v="200"/>
    <s v="AHY"/>
    <s v="F"/>
    <n v="9"/>
    <n v="2011"/>
    <n v="2011"/>
    <n v="7"/>
    <x v="0"/>
    <s v="7B"/>
    <x v="9"/>
    <n v="1"/>
    <n v="7"/>
    <x v="0"/>
    <x v="0"/>
  </r>
  <r>
    <n v="7756"/>
    <n v="113831723"/>
    <s v="Recovery"/>
    <n v="200"/>
    <s v="AHY"/>
    <s v="F"/>
    <n v="1"/>
    <n v="2012"/>
    <n v="2011"/>
    <n v="7"/>
    <x v="0"/>
    <s v="7B"/>
    <x v="9"/>
    <n v="1"/>
    <n v="7"/>
    <x v="0"/>
    <x v="0"/>
  </r>
  <r>
    <n v="7758"/>
    <n v="113831725"/>
    <s v="Recovery"/>
    <n v="200"/>
    <s v="AHY"/>
    <s v="M"/>
    <n v="1"/>
    <n v="2012"/>
    <n v="2011"/>
    <n v="7"/>
    <x v="0"/>
    <s v="7B"/>
    <x v="9"/>
    <n v="1"/>
    <n v="7"/>
    <x v="0"/>
    <x v="0"/>
  </r>
  <r>
    <n v="7760"/>
    <n v="113831727"/>
    <s v="Recovery"/>
    <n v="200"/>
    <s v="AHY"/>
    <s v="F"/>
    <n v="9"/>
    <n v="2012"/>
    <n v="2012"/>
    <n v="8"/>
    <x v="0"/>
    <s v="8B"/>
    <x v="3"/>
    <n v="1"/>
    <n v="7"/>
    <x v="0"/>
    <x v="0"/>
  </r>
  <r>
    <n v="7777"/>
    <n v="113831744"/>
    <s v="Recovery"/>
    <n v="200"/>
    <s v="AHY"/>
    <s v="M"/>
    <n v="1"/>
    <n v="2013"/>
    <n v="2012"/>
    <n v="8"/>
    <x v="0"/>
    <s v="8B"/>
    <x v="3"/>
    <n v="1"/>
    <n v="7"/>
    <x v="0"/>
    <x v="0"/>
  </r>
  <r>
    <n v="7778"/>
    <n v="113831745"/>
    <s v="Recovery"/>
    <n v="200"/>
    <s v="AHY"/>
    <s v="F"/>
    <n v="12"/>
    <n v="2017"/>
    <n v="2017"/>
    <n v="13"/>
    <x v="0"/>
    <s v="13B"/>
    <x v="13"/>
    <n v="1"/>
    <n v="7"/>
    <x v="0"/>
    <x v="0"/>
  </r>
  <r>
    <n v="7779"/>
    <n v="113831746"/>
    <s v="Recovery"/>
    <n v="200"/>
    <s v="AHY"/>
    <s v="M"/>
    <n v="1"/>
    <n v="2019"/>
    <n v="2018"/>
    <n v="14"/>
    <x v="0"/>
    <s v="14B"/>
    <x v="10"/>
    <n v="1"/>
    <n v="7"/>
    <x v="0"/>
    <x v="0"/>
  </r>
  <r>
    <n v="7781"/>
    <n v="113831748"/>
    <s v="Recovery"/>
    <n v="200"/>
    <s v="AHY"/>
    <s v="F"/>
    <n v="1"/>
    <n v="2013"/>
    <n v="2012"/>
    <n v="8"/>
    <x v="0"/>
    <s v="8B"/>
    <x v="3"/>
    <n v="1"/>
    <n v="7"/>
    <x v="0"/>
    <x v="0"/>
  </r>
  <r>
    <n v="7782"/>
    <n v="113831749"/>
    <s v="Recovery"/>
    <n v="200"/>
    <s v="AHY"/>
    <s v="F"/>
    <n v="9"/>
    <n v="2011"/>
    <n v="2011"/>
    <n v="7"/>
    <x v="0"/>
    <s v="7B"/>
    <x v="9"/>
    <n v="1"/>
    <n v="7"/>
    <x v="0"/>
    <x v="0"/>
  </r>
  <r>
    <n v="7786"/>
    <n v="113831753"/>
    <s v="Recovery"/>
    <n v="200"/>
    <s v="AHY"/>
    <s v="F"/>
    <n v="1"/>
    <n v="2014"/>
    <n v="2013"/>
    <n v="9"/>
    <x v="0"/>
    <s v="9B"/>
    <x v="4"/>
    <n v="1"/>
    <n v="7"/>
    <x v="0"/>
    <x v="0"/>
  </r>
  <r>
    <n v="7787"/>
    <n v="113831754"/>
    <s v="Recovery"/>
    <n v="200"/>
    <s v="AHY"/>
    <s v="F"/>
    <n v="2"/>
    <n v="2013"/>
    <n v="2012"/>
    <n v="8"/>
    <x v="0"/>
    <s v="8B"/>
    <x v="3"/>
    <n v="1"/>
    <n v="7"/>
    <x v="0"/>
    <x v="0"/>
  </r>
  <r>
    <n v="7794"/>
    <n v="113831761"/>
    <s v="Recovery"/>
    <n v="200"/>
    <s v="AHY"/>
    <s v="F"/>
    <n v="9"/>
    <n v="2014"/>
    <n v="2014"/>
    <n v="10"/>
    <x v="0"/>
    <s v="10B"/>
    <x v="7"/>
    <n v="1"/>
    <n v="7"/>
    <x v="0"/>
    <x v="0"/>
  </r>
  <r>
    <n v="7795"/>
    <n v="113831762"/>
    <s v="Recovery"/>
    <n v="200"/>
    <s v="AHY"/>
    <s v="M"/>
    <n v="1"/>
    <n v="2012"/>
    <n v="2011"/>
    <n v="7"/>
    <x v="0"/>
    <s v="7B"/>
    <x v="9"/>
    <n v="1"/>
    <n v="7"/>
    <x v="0"/>
    <x v="0"/>
  </r>
  <r>
    <n v="7799"/>
    <n v="113831766"/>
    <s v="Recovery"/>
    <n v="200"/>
    <s v="AHY"/>
    <s v="M"/>
    <n v="2"/>
    <n v="2013"/>
    <n v="2012"/>
    <n v="8"/>
    <x v="0"/>
    <s v="8B"/>
    <x v="3"/>
    <n v="1"/>
    <n v="7"/>
    <x v="0"/>
    <x v="0"/>
  </r>
  <r>
    <n v="7803"/>
    <n v="113831770"/>
    <s v="Recovery"/>
    <n v="200"/>
    <s v="AHY"/>
    <s v="F"/>
    <n v="11"/>
    <n v="2014"/>
    <n v="2014"/>
    <n v="10"/>
    <x v="0"/>
    <s v="10B"/>
    <x v="7"/>
    <n v="1"/>
    <n v="7"/>
    <x v="0"/>
    <x v="0"/>
  </r>
  <r>
    <n v="7804"/>
    <n v="113831771"/>
    <s v="Recovery"/>
    <n v="200"/>
    <s v="AHY"/>
    <s v="M"/>
    <n v="9"/>
    <n v="2015"/>
    <n v="2015"/>
    <n v="11"/>
    <x v="0"/>
    <s v="11B"/>
    <x v="14"/>
    <n v="1"/>
    <n v="7"/>
    <x v="0"/>
    <x v="0"/>
  </r>
  <r>
    <n v="7807"/>
    <n v="113831774"/>
    <s v="Recovery"/>
    <n v="200"/>
    <s v="AHY"/>
    <s v="F"/>
    <n v="11"/>
    <n v="2020"/>
    <n v="2020"/>
    <n v="16"/>
    <x v="0"/>
    <s v="16B"/>
    <x v="15"/>
    <n v="1"/>
    <n v="7"/>
    <x v="0"/>
    <x v="0"/>
  </r>
  <r>
    <n v="7808"/>
    <n v="113831775"/>
    <s v="Recovery"/>
    <n v="200"/>
    <s v="AHY"/>
    <s v="M"/>
    <n v="9"/>
    <n v="2012"/>
    <n v="2012"/>
    <n v="8"/>
    <x v="0"/>
    <s v="8B"/>
    <x v="3"/>
    <n v="1"/>
    <n v="7"/>
    <x v="0"/>
    <x v="0"/>
  </r>
  <r>
    <n v="7811"/>
    <n v="113831778"/>
    <s v="Recovery"/>
    <n v="200"/>
    <s v="AHY"/>
    <s v="M"/>
    <n v="1"/>
    <n v="2013"/>
    <n v="2012"/>
    <n v="8"/>
    <x v="0"/>
    <s v="8B"/>
    <x v="3"/>
    <n v="1"/>
    <n v="7"/>
    <x v="0"/>
    <x v="0"/>
  </r>
  <r>
    <n v="7812"/>
    <n v="113831779"/>
    <s v="Recovery"/>
    <n v="200"/>
    <s v="AHY"/>
    <s v="M"/>
    <n v="12"/>
    <n v="2011"/>
    <n v="2011"/>
    <n v="7"/>
    <x v="0"/>
    <s v="7B"/>
    <x v="9"/>
    <n v="1"/>
    <n v="7"/>
    <x v="0"/>
    <x v="0"/>
  </r>
  <r>
    <n v="7816"/>
    <n v="113831783"/>
    <s v="Recovery"/>
    <n v="200"/>
    <s v="AHY"/>
    <s v="M"/>
    <n v="12"/>
    <n v="2011"/>
    <n v="2011"/>
    <n v="7"/>
    <x v="0"/>
    <s v="7B"/>
    <x v="9"/>
    <n v="1"/>
    <n v="7"/>
    <x v="0"/>
    <x v="0"/>
  </r>
  <r>
    <n v="7822"/>
    <n v="113831789"/>
    <s v="Recovery"/>
    <n v="200"/>
    <s v="AHY"/>
    <s v="F"/>
    <n v="9"/>
    <n v="2013"/>
    <n v="2013"/>
    <n v="9"/>
    <x v="0"/>
    <s v="9B"/>
    <x v="4"/>
    <n v="1"/>
    <n v="7"/>
    <x v="0"/>
    <x v="0"/>
  </r>
  <r>
    <n v="7824"/>
    <n v="113831791"/>
    <s v="Recovery"/>
    <n v="200"/>
    <s v="AHY"/>
    <s v="M"/>
    <n v="9"/>
    <n v="2011"/>
    <n v="2011"/>
    <n v="7"/>
    <x v="0"/>
    <s v="7B"/>
    <x v="9"/>
    <n v="1"/>
    <n v="7"/>
    <x v="0"/>
    <x v="0"/>
  </r>
  <r>
    <n v="7828"/>
    <n v="113831795"/>
    <s v="Recovery"/>
    <n v="200"/>
    <s v="AHY"/>
    <s v="M"/>
    <n v="1"/>
    <n v="2013"/>
    <n v="2012"/>
    <n v="8"/>
    <x v="0"/>
    <s v="8B"/>
    <x v="3"/>
    <n v="1"/>
    <n v="7"/>
    <x v="0"/>
    <x v="0"/>
  </r>
  <r>
    <n v="7841"/>
    <n v="113842108"/>
    <s v="Recovery"/>
    <n v="200"/>
    <s v="AHY"/>
    <s v="M"/>
    <n v="9"/>
    <n v="2014"/>
    <n v="2014"/>
    <n v="10"/>
    <x v="0"/>
    <s v="10B"/>
    <x v="7"/>
    <n v="1"/>
    <n v="7"/>
    <x v="0"/>
    <x v="0"/>
  </r>
  <r>
    <n v="7842"/>
    <n v="113842109"/>
    <s v="Recovery"/>
    <n v="200"/>
    <s v="AHY"/>
    <s v="M"/>
    <n v="1"/>
    <n v="2013"/>
    <n v="2012"/>
    <n v="8"/>
    <x v="0"/>
    <s v="8B"/>
    <x v="3"/>
    <n v="1"/>
    <n v="7"/>
    <x v="0"/>
    <x v="0"/>
  </r>
  <r>
    <n v="7846"/>
    <n v="113842113"/>
    <s v="Recovery"/>
    <n v="200"/>
    <s v="AHY"/>
    <s v="M"/>
    <n v="11"/>
    <n v="2015"/>
    <n v="2015"/>
    <n v="11"/>
    <x v="0"/>
    <s v="11B"/>
    <x v="14"/>
    <n v="1"/>
    <n v="7"/>
    <x v="0"/>
    <x v="0"/>
  </r>
  <r>
    <n v="7853"/>
    <n v="113842120"/>
    <s v="Recovery"/>
    <n v="200"/>
    <s v="AHY"/>
    <s v="F"/>
    <n v="1"/>
    <n v="2012"/>
    <n v="2011"/>
    <n v="7"/>
    <x v="0"/>
    <s v="7B"/>
    <x v="9"/>
    <n v="1"/>
    <n v="7"/>
    <x v="0"/>
    <x v="0"/>
  </r>
  <r>
    <n v="7855"/>
    <n v="113842122"/>
    <s v="Recovery"/>
    <n v="200"/>
    <s v="AHY"/>
    <s v="F"/>
    <n v="11"/>
    <n v="2015"/>
    <n v="2015"/>
    <n v="11"/>
    <x v="0"/>
    <s v="11B"/>
    <x v="14"/>
    <n v="1"/>
    <n v="7"/>
    <x v="0"/>
    <x v="0"/>
  </r>
  <r>
    <n v="7861"/>
    <n v="113842128"/>
    <s v="Recovery"/>
    <n v="200"/>
    <s v="AHY"/>
    <s v="F"/>
    <n v="9"/>
    <n v="2016"/>
    <n v="2016"/>
    <n v="12"/>
    <x v="0"/>
    <s v="12B"/>
    <x v="12"/>
    <n v="1"/>
    <n v="7"/>
    <x v="0"/>
    <x v="0"/>
  </r>
  <r>
    <n v="7862"/>
    <n v="113842129"/>
    <s v="Recovery"/>
    <n v="200"/>
    <s v="HY"/>
    <s v="F"/>
    <n v="12"/>
    <n v="2011"/>
    <n v="2011"/>
    <n v="7"/>
    <x v="0"/>
    <s v="7B"/>
    <x v="9"/>
    <n v="1"/>
    <n v="7"/>
    <x v="0"/>
    <x v="0"/>
  </r>
  <r>
    <n v="7868"/>
    <n v="113842135"/>
    <s v="Recovery"/>
    <n v="200"/>
    <s v="AHY"/>
    <s v="M"/>
    <n v="12"/>
    <n v="2014"/>
    <n v="2014"/>
    <n v="10"/>
    <x v="0"/>
    <s v="10B"/>
    <x v="7"/>
    <n v="1"/>
    <n v="7"/>
    <x v="0"/>
    <x v="0"/>
  </r>
  <r>
    <n v="7875"/>
    <n v="113842142"/>
    <s v="Recovery"/>
    <n v="200"/>
    <s v="AHY"/>
    <s v="M"/>
    <n v="12"/>
    <n v="2018"/>
    <n v="2018"/>
    <n v="14"/>
    <x v="0"/>
    <s v="14B"/>
    <x v="10"/>
    <n v="1"/>
    <n v="7"/>
    <x v="0"/>
    <x v="0"/>
  </r>
  <r>
    <n v="7876"/>
    <n v="113842143"/>
    <s v="Recovery"/>
    <n v="200"/>
    <s v="AHY"/>
    <s v="F"/>
    <n v="12"/>
    <n v="2015"/>
    <n v="2015"/>
    <n v="11"/>
    <x v="0"/>
    <s v="11B"/>
    <x v="14"/>
    <n v="1"/>
    <n v="7"/>
    <x v="0"/>
    <x v="0"/>
  </r>
  <r>
    <n v="7879"/>
    <n v="113842146"/>
    <s v="Recovery"/>
    <n v="200"/>
    <s v="HY"/>
    <s v="U"/>
    <n v="1"/>
    <n v="2012"/>
    <n v="2011"/>
    <n v="7"/>
    <x v="0"/>
    <s v="7B"/>
    <x v="9"/>
    <n v="1"/>
    <n v="7"/>
    <x v="0"/>
    <x v="0"/>
  </r>
  <r>
    <n v="7889"/>
    <n v="113842156"/>
    <s v="Recovery"/>
    <n v="200"/>
    <s v="HY"/>
    <s v="M"/>
    <n v="1"/>
    <n v="2012"/>
    <n v="2011"/>
    <n v="7"/>
    <x v="0"/>
    <s v="7B"/>
    <x v="9"/>
    <n v="1"/>
    <n v="7"/>
    <x v="0"/>
    <x v="0"/>
  </r>
  <r>
    <n v="7892"/>
    <n v="113842159"/>
    <s v="Recovery"/>
    <n v="200"/>
    <s v="AHY"/>
    <s v="M"/>
    <n v="1"/>
    <n v="2013"/>
    <n v="2012"/>
    <n v="8"/>
    <x v="0"/>
    <s v="8B"/>
    <x v="3"/>
    <n v="1"/>
    <n v="7"/>
    <x v="0"/>
    <x v="0"/>
  </r>
  <r>
    <n v="7893"/>
    <n v="113842160"/>
    <s v="Recovery"/>
    <n v="200"/>
    <s v="AHY"/>
    <s v="F"/>
    <n v="1"/>
    <n v="2012"/>
    <n v="2011"/>
    <n v="7"/>
    <x v="0"/>
    <s v="7B"/>
    <x v="9"/>
    <n v="1"/>
    <n v="7"/>
    <x v="0"/>
    <x v="0"/>
  </r>
  <r>
    <n v="7897"/>
    <n v="113842164"/>
    <s v="Recovery"/>
    <n v="200"/>
    <s v="AHY"/>
    <s v="M"/>
    <n v="9"/>
    <n v="2018"/>
    <n v="2018"/>
    <n v="14"/>
    <x v="0"/>
    <s v="14B"/>
    <x v="10"/>
    <n v="1"/>
    <n v="7"/>
    <x v="0"/>
    <x v="0"/>
  </r>
  <r>
    <n v="7901"/>
    <n v="113842168"/>
    <s v="Recovery"/>
    <n v="200"/>
    <s v="AHY"/>
    <s v="F"/>
    <n v="9"/>
    <n v="2012"/>
    <n v="2012"/>
    <n v="8"/>
    <x v="0"/>
    <s v="8B"/>
    <x v="3"/>
    <n v="1"/>
    <n v="7"/>
    <x v="0"/>
    <x v="0"/>
  </r>
  <r>
    <n v="7913"/>
    <n v="113842180"/>
    <s v="Recovery"/>
    <n v="200"/>
    <s v="AHY"/>
    <s v="F"/>
    <n v="1"/>
    <n v="2013"/>
    <n v="2012"/>
    <n v="8"/>
    <x v="0"/>
    <s v="8B"/>
    <x v="3"/>
    <n v="1"/>
    <n v="7"/>
    <x v="0"/>
    <x v="0"/>
  </r>
  <r>
    <n v="7916"/>
    <n v="113842183"/>
    <s v="Recovery"/>
    <n v="200"/>
    <s v="AHY"/>
    <s v="F"/>
    <n v="1"/>
    <n v="2014"/>
    <n v="2013"/>
    <n v="9"/>
    <x v="0"/>
    <s v="9B"/>
    <x v="4"/>
    <n v="1"/>
    <n v="7"/>
    <x v="0"/>
    <x v="0"/>
  </r>
  <r>
    <n v="7918"/>
    <n v="113842185"/>
    <s v="Recovery"/>
    <n v="200"/>
    <s v="AHY"/>
    <s v="M"/>
    <n v="12"/>
    <n v="2012"/>
    <n v="2012"/>
    <n v="8"/>
    <x v="0"/>
    <s v="8B"/>
    <x v="3"/>
    <n v="1"/>
    <n v="7"/>
    <x v="0"/>
    <x v="0"/>
  </r>
  <r>
    <n v="7919"/>
    <n v="113842186"/>
    <s v="Recovery"/>
    <n v="200"/>
    <s v="AHY"/>
    <s v="F"/>
    <n v="1"/>
    <n v="2014"/>
    <n v="2013"/>
    <n v="9"/>
    <x v="0"/>
    <s v="9B"/>
    <x v="4"/>
    <n v="1"/>
    <n v="7"/>
    <x v="0"/>
    <x v="0"/>
  </r>
  <r>
    <n v="7920"/>
    <n v="113842187"/>
    <s v="Recovery"/>
    <n v="200"/>
    <s v="AHY"/>
    <s v="M"/>
    <n v="12"/>
    <n v="2011"/>
    <n v="2011"/>
    <n v="7"/>
    <x v="0"/>
    <s v="7B"/>
    <x v="9"/>
    <n v="1"/>
    <n v="7"/>
    <x v="0"/>
    <x v="0"/>
  </r>
  <r>
    <n v="7924"/>
    <n v="113842191"/>
    <s v="Recovery"/>
    <n v="200"/>
    <s v="AHY"/>
    <s v="F"/>
    <n v="11"/>
    <n v="2015"/>
    <n v="2015"/>
    <n v="11"/>
    <x v="0"/>
    <s v="11B"/>
    <x v="14"/>
    <n v="1"/>
    <n v="7"/>
    <x v="0"/>
    <x v="0"/>
  </r>
  <r>
    <n v="7927"/>
    <n v="113842194"/>
    <s v="Recovery"/>
    <n v="200"/>
    <s v="AHY"/>
    <s v="F"/>
    <n v="12"/>
    <n v="2013"/>
    <n v="2013"/>
    <n v="9"/>
    <x v="0"/>
    <s v="9B"/>
    <x v="4"/>
    <n v="1"/>
    <n v="7"/>
    <x v="0"/>
    <x v="0"/>
  </r>
  <r>
    <n v="7928"/>
    <n v="113842195"/>
    <s v="Recovery"/>
    <n v="200"/>
    <s v="AHY"/>
    <s v="F"/>
    <n v="1"/>
    <n v="2013"/>
    <n v="2012"/>
    <n v="8"/>
    <x v="0"/>
    <s v="8B"/>
    <x v="3"/>
    <n v="1"/>
    <n v="7"/>
    <x v="0"/>
    <x v="0"/>
  </r>
  <r>
    <n v="7929"/>
    <n v="113842196"/>
    <s v="Recovery"/>
    <n v="200"/>
    <s v="AHY"/>
    <s v="F"/>
    <n v="1"/>
    <n v="2016"/>
    <n v="2015"/>
    <n v="11"/>
    <x v="0"/>
    <s v="11B"/>
    <x v="14"/>
    <n v="1"/>
    <n v="7"/>
    <x v="0"/>
    <x v="0"/>
  </r>
  <r>
    <n v="7932"/>
    <n v="113842199"/>
    <s v="Recovery"/>
    <n v="200"/>
    <s v="AHY"/>
    <s v="F"/>
    <n v="1"/>
    <n v="2017"/>
    <n v="2016"/>
    <n v="12"/>
    <x v="0"/>
    <s v="12B"/>
    <x v="12"/>
    <n v="1"/>
    <n v="7"/>
    <x v="0"/>
    <x v="0"/>
  </r>
  <r>
    <n v="7933"/>
    <n v="113842200"/>
    <s v="Recovery"/>
    <n v="200"/>
    <s v="AHY"/>
    <s v="F"/>
    <n v="11"/>
    <n v="2013"/>
    <n v="2013"/>
    <n v="9"/>
    <x v="0"/>
    <s v="9B"/>
    <x v="4"/>
    <n v="1"/>
    <n v="7"/>
    <x v="0"/>
    <x v="0"/>
  </r>
  <r>
    <n v="7935"/>
    <n v="113842202"/>
    <s v="Recovery"/>
    <n v="200"/>
    <s v="AHY"/>
    <s v="F"/>
    <n v="1"/>
    <n v="2014"/>
    <n v="2013"/>
    <n v="9"/>
    <x v="0"/>
    <s v="9B"/>
    <x v="4"/>
    <n v="1"/>
    <n v="7"/>
    <x v="0"/>
    <x v="0"/>
  </r>
  <r>
    <n v="7937"/>
    <n v="113842204"/>
    <s v="Recovery"/>
    <n v="200"/>
    <s v="AHY"/>
    <s v="M"/>
    <n v="10"/>
    <n v="2013"/>
    <n v="2013"/>
    <n v="9"/>
    <x v="0"/>
    <s v="9B"/>
    <x v="4"/>
    <n v="1"/>
    <n v="7"/>
    <x v="0"/>
    <x v="0"/>
  </r>
  <r>
    <n v="7942"/>
    <n v="113842209"/>
    <s v="Recovery"/>
    <n v="200"/>
    <s v="HY"/>
    <s v="F"/>
    <n v="1"/>
    <n v="2012"/>
    <n v="2011"/>
    <n v="7"/>
    <x v="0"/>
    <s v="7B"/>
    <x v="9"/>
    <n v="1"/>
    <n v="7"/>
    <x v="0"/>
    <x v="0"/>
  </r>
  <r>
    <n v="7951"/>
    <n v="113842218"/>
    <s v="Recovery"/>
    <n v="200"/>
    <s v="AHY"/>
    <s v="M"/>
    <n v="1"/>
    <n v="2012"/>
    <n v="2011"/>
    <n v="7"/>
    <x v="0"/>
    <s v="7B"/>
    <x v="9"/>
    <n v="1"/>
    <n v="7"/>
    <x v="0"/>
    <x v="0"/>
  </r>
  <r>
    <n v="7960"/>
    <n v="113842227"/>
    <s v="Recovery"/>
    <n v="200"/>
    <s v="AHY"/>
    <s v="F"/>
    <n v="11"/>
    <n v="2016"/>
    <n v="2016"/>
    <n v="12"/>
    <x v="0"/>
    <s v="12B"/>
    <x v="12"/>
    <n v="1"/>
    <n v="7"/>
    <x v="0"/>
    <x v="0"/>
  </r>
  <r>
    <n v="7962"/>
    <n v="113842229"/>
    <s v="Recovery"/>
    <n v="200"/>
    <s v="AHY"/>
    <s v="M"/>
    <n v="9"/>
    <n v="2016"/>
    <n v="2016"/>
    <n v="12"/>
    <x v="0"/>
    <s v="12B"/>
    <x v="12"/>
    <n v="1"/>
    <n v="7"/>
    <x v="0"/>
    <x v="0"/>
  </r>
  <r>
    <n v="7966"/>
    <n v="113842233"/>
    <s v="Recovery"/>
    <n v="200"/>
    <s v="AHY"/>
    <s v="M"/>
    <n v="9"/>
    <n v="2020"/>
    <n v="2020"/>
    <n v="16"/>
    <x v="0"/>
    <s v="16B"/>
    <x v="15"/>
    <n v="1"/>
    <n v="7"/>
    <x v="0"/>
    <x v="0"/>
  </r>
  <r>
    <n v="7971"/>
    <n v="113842238"/>
    <s v="Recovery"/>
    <n v="200"/>
    <s v="AHY"/>
    <s v="M"/>
    <n v="1"/>
    <n v="2013"/>
    <n v="2012"/>
    <n v="8"/>
    <x v="0"/>
    <s v="8B"/>
    <x v="3"/>
    <n v="1"/>
    <n v="7"/>
    <x v="0"/>
    <x v="0"/>
  </r>
  <r>
    <n v="7975"/>
    <n v="113842242"/>
    <s v="Recovery"/>
    <n v="200"/>
    <s v="AHY"/>
    <s v="M"/>
    <n v="1"/>
    <n v="2013"/>
    <n v="2012"/>
    <n v="8"/>
    <x v="0"/>
    <s v="8B"/>
    <x v="3"/>
    <n v="1"/>
    <n v="7"/>
    <x v="0"/>
    <x v="0"/>
  </r>
  <r>
    <n v="7978"/>
    <n v="113842245"/>
    <s v="Recovery"/>
    <n v="200"/>
    <s v="AHY"/>
    <s v="M"/>
    <n v="1"/>
    <n v="2013"/>
    <n v="2012"/>
    <n v="8"/>
    <x v="0"/>
    <s v="8B"/>
    <x v="3"/>
    <n v="1"/>
    <n v="7"/>
    <x v="0"/>
    <x v="0"/>
  </r>
  <r>
    <n v="7999"/>
    <n v="113842266"/>
    <s v="Recovery"/>
    <n v="200"/>
    <s v="AHY"/>
    <s v="M"/>
    <n v="1"/>
    <n v="2019"/>
    <n v="2018"/>
    <n v="14"/>
    <x v="0"/>
    <s v="14B"/>
    <x v="10"/>
    <n v="1"/>
    <n v="7"/>
    <x v="0"/>
    <x v="0"/>
  </r>
  <r>
    <n v="8005"/>
    <n v="113842303"/>
    <s v="Recovery"/>
    <n v="200"/>
    <s v="AHY"/>
    <s v="F"/>
    <n v="1"/>
    <n v="2017"/>
    <n v="2016"/>
    <n v="12"/>
    <x v="0"/>
    <s v="12B"/>
    <x v="12"/>
    <n v="1"/>
    <n v="7"/>
    <x v="0"/>
    <x v="0"/>
  </r>
  <r>
    <n v="8008"/>
    <n v="113842306"/>
    <s v="Recovery"/>
    <n v="200"/>
    <s v="AHY"/>
    <s v="M"/>
    <n v="1"/>
    <n v="2012"/>
    <n v="2011"/>
    <n v="7"/>
    <x v="0"/>
    <s v="7B"/>
    <x v="9"/>
    <n v="1"/>
    <n v="7"/>
    <x v="0"/>
    <x v="0"/>
  </r>
  <r>
    <n v="8014"/>
    <n v="113842312"/>
    <s v="Recovery"/>
    <n v="200"/>
    <s v="AHY"/>
    <s v="F"/>
    <n v="9"/>
    <n v="2020"/>
    <n v="2020"/>
    <n v="16"/>
    <x v="0"/>
    <s v="16B"/>
    <x v="15"/>
    <n v="1"/>
    <n v="7"/>
    <x v="0"/>
    <x v="0"/>
  </r>
  <r>
    <n v="8015"/>
    <n v="113842313"/>
    <s v="Recovery"/>
    <n v="200"/>
    <s v="AHY"/>
    <s v="M"/>
    <n v="12"/>
    <n v="2017"/>
    <n v="2017"/>
    <n v="13"/>
    <x v="0"/>
    <s v="13B"/>
    <x v="13"/>
    <n v="1"/>
    <n v="7"/>
    <x v="0"/>
    <x v="0"/>
  </r>
  <r>
    <n v="8019"/>
    <n v="113842317"/>
    <s v="Recovery"/>
    <n v="200"/>
    <s v="AHY"/>
    <s v="M"/>
    <n v="1"/>
    <n v="2012"/>
    <n v="2011"/>
    <n v="7"/>
    <x v="0"/>
    <s v="7B"/>
    <x v="9"/>
    <n v="1"/>
    <n v="7"/>
    <x v="0"/>
    <x v="0"/>
  </r>
  <r>
    <n v="8025"/>
    <n v="113842323"/>
    <s v="Recovery"/>
    <n v="200"/>
    <s v="AHY"/>
    <s v="F"/>
    <n v="9"/>
    <n v="2011"/>
    <n v="2011"/>
    <n v="7"/>
    <x v="0"/>
    <s v="7B"/>
    <x v="9"/>
    <n v="1"/>
    <n v="7"/>
    <x v="0"/>
    <x v="0"/>
  </r>
  <r>
    <n v="8031"/>
    <n v="113842329"/>
    <s v="Recovery"/>
    <n v="200"/>
    <s v="AHY"/>
    <s v="F"/>
    <n v="12"/>
    <n v="2012"/>
    <n v="2012"/>
    <n v="8"/>
    <x v="0"/>
    <s v="8B"/>
    <x v="3"/>
    <n v="1"/>
    <n v="7"/>
    <x v="0"/>
    <x v="0"/>
  </r>
  <r>
    <n v="8035"/>
    <n v="113842333"/>
    <s v="Recovery"/>
    <n v="200"/>
    <s v="AHY"/>
    <s v="F"/>
    <n v="11"/>
    <n v="2011"/>
    <n v="2011"/>
    <n v="7"/>
    <x v="0"/>
    <s v="7B"/>
    <x v="9"/>
    <n v="1"/>
    <n v="7"/>
    <x v="0"/>
    <x v="0"/>
  </r>
  <r>
    <n v="8036"/>
    <n v="113842334"/>
    <s v="Recovery"/>
    <n v="200"/>
    <s v="AHY"/>
    <s v="F"/>
    <n v="12"/>
    <n v="2020"/>
    <n v="2020"/>
    <n v="16"/>
    <x v="0"/>
    <s v="16B"/>
    <x v="15"/>
    <n v="1"/>
    <n v="7"/>
    <x v="0"/>
    <x v="0"/>
  </r>
  <r>
    <n v="8037"/>
    <n v="113842335"/>
    <s v="Recovery"/>
    <n v="200"/>
    <s v="AHY"/>
    <s v="M"/>
    <n v="9"/>
    <n v="2015"/>
    <n v="2015"/>
    <n v="11"/>
    <x v="0"/>
    <s v="11B"/>
    <x v="14"/>
    <n v="1"/>
    <n v="7"/>
    <x v="0"/>
    <x v="0"/>
  </r>
  <r>
    <n v="8039"/>
    <n v="113842337"/>
    <s v="Recovery"/>
    <n v="200"/>
    <s v="AHY"/>
    <s v="M"/>
    <n v="11"/>
    <n v="2013"/>
    <n v="2013"/>
    <n v="9"/>
    <x v="0"/>
    <s v="9B"/>
    <x v="4"/>
    <n v="1"/>
    <n v="7"/>
    <x v="0"/>
    <x v="0"/>
  </r>
  <r>
    <n v="8049"/>
    <n v="113842347"/>
    <s v="Recovery"/>
    <n v="200"/>
    <s v="AHY"/>
    <s v="M"/>
    <n v="9"/>
    <n v="2015"/>
    <n v="2015"/>
    <n v="11"/>
    <x v="0"/>
    <s v="11B"/>
    <x v="14"/>
    <n v="1"/>
    <n v="7"/>
    <x v="0"/>
    <x v="0"/>
  </r>
  <r>
    <n v="8054"/>
    <n v="113842352"/>
    <s v="Recovery"/>
    <n v="200"/>
    <s v="AHY"/>
    <s v="M"/>
    <n v="1"/>
    <n v="2012"/>
    <n v="2011"/>
    <n v="7"/>
    <x v="0"/>
    <s v="7B"/>
    <x v="9"/>
    <n v="1"/>
    <n v="7"/>
    <x v="0"/>
    <x v="0"/>
  </r>
  <r>
    <n v="8055"/>
    <n v="113842353"/>
    <s v="Recovery"/>
    <n v="200"/>
    <s v="AHY"/>
    <s v="M"/>
    <n v="9"/>
    <n v="2014"/>
    <n v="2014"/>
    <n v="10"/>
    <x v="0"/>
    <s v="10B"/>
    <x v="7"/>
    <n v="1"/>
    <n v="7"/>
    <x v="0"/>
    <x v="0"/>
  </r>
  <r>
    <n v="8070"/>
    <n v="113842368"/>
    <s v="Recovery"/>
    <n v="200"/>
    <s v="AHY"/>
    <s v="M"/>
    <n v="1"/>
    <n v="2013"/>
    <n v="2012"/>
    <n v="8"/>
    <x v="0"/>
    <s v="8B"/>
    <x v="3"/>
    <n v="1"/>
    <n v="7"/>
    <x v="0"/>
    <x v="0"/>
  </r>
  <r>
    <n v="8078"/>
    <n v="113842376"/>
    <s v="Recovery"/>
    <n v="200"/>
    <s v="AHY"/>
    <s v="M"/>
    <n v="9"/>
    <n v="2014"/>
    <n v="2014"/>
    <n v="10"/>
    <x v="0"/>
    <s v="10B"/>
    <x v="7"/>
    <n v="1"/>
    <n v="7"/>
    <x v="0"/>
    <x v="0"/>
  </r>
  <r>
    <n v="8081"/>
    <n v="113842379"/>
    <s v="Recovery"/>
    <n v="200"/>
    <s v="AHY"/>
    <s v="M"/>
    <n v="1"/>
    <n v="2015"/>
    <n v="2014"/>
    <n v="10"/>
    <x v="0"/>
    <s v="10B"/>
    <x v="7"/>
    <n v="1"/>
    <n v="7"/>
    <x v="0"/>
    <x v="0"/>
  </r>
  <r>
    <n v="8084"/>
    <n v="113842382"/>
    <s v="Recovery"/>
    <n v="200"/>
    <s v="AHY"/>
    <s v="M"/>
    <n v="9"/>
    <n v="2011"/>
    <n v="2011"/>
    <n v="7"/>
    <x v="0"/>
    <s v="7B"/>
    <x v="9"/>
    <n v="1"/>
    <n v="7"/>
    <x v="0"/>
    <x v="0"/>
  </r>
  <r>
    <n v="8094"/>
    <n v="113842392"/>
    <s v="Recovery"/>
    <n v="200"/>
    <s v="AHY"/>
    <s v="F"/>
    <n v="12"/>
    <n v="2014"/>
    <n v="2014"/>
    <n v="10"/>
    <x v="0"/>
    <s v="10B"/>
    <x v="7"/>
    <n v="1"/>
    <n v="7"/>
    <x v="0"/>
    <x v="0"/>
  </r>
  <r>
    <n v="8098"/>
    <n v="113842396"/>
    <s v="Recovery"/>
    <n v="200"/>
    <s v="AHY"/>
    <s v="M"/>
    <n v="12"/>
    <n v="2011"/>
    <n v="2011"/>
    <n v="7"/>
    <x v="0"/>
    <s v="7B"/>
    <x v="9"/>
    <n v="1"/>
    <n v="7"/>
    <x v="0"/>
    <x v="0"/>
  </r>
  <r>
    <n v="8106"/>
    <n v="113842404"/>
    <s v="Recovery"/>
    <n v="200"/>
    <s v="AHY"/>
    <s v="M"/>
    <n v="12"/>
    <n v="2016"/>
    <n v="2016"/>
    <n v="12"/>
    <x v="0"/>
    <s v="12B"/>
    <x v="12"/>
    <n v="1"/>
    <n v="7"/>
    <x v="0"/>
    <x v="0"/>
  </r>
  <r>
    <n v="8118"/>
    <n v="113842416"/>
    <s v="Recovery"/>
    <n v="200"/>
    <s v="AHY"/>
    <s v="M"/>
    <n v="1"/>
    <n v="2020"/>
    <n v="2019"/>
    <n v="15"/>
    <x v="0"/>
    <s v="15B"/>
    <x v="11"/>
    <n v="1"/>
    <n v="7"/>
    <x v="0"/>
    <x v="0"/>
  </r>
  <r>
    <n v="8122"/>
    <n v="113842420"/>
    <s v="Recovery"/>
    <n v="200"/>
    <s v="AHY"/>
    <s v="M"/>
    <n v="1"/>
    <n v="2012"/>
    <n v="2011"/>
    <n v="7"/>
    <x v="0"/>
    <s v="7B"/>
    <x v="9"/>
    <n v="1"/>
    <n v="7"/>
    <x v="0"/>
    <x v="0"/>
  </r>
  <r>
    <n v="8126"/>
    <n v="113842424"/>
    <s v="Recovery"/>
    <n v="200"/>
    <s v="AHY"/>
    <s v="F"/>
    <n v="12"/>
    <n v="2015"/>
    <n v="2015"/>
    <n v="11"/>
    <x v="0"/>
    <s v="11B"/>
    <x v="14"/>
    <n v="1"/>
    <n v="7"/>
    <x v="0"/>
    <x v="0"/>
  </r>
  <r>
    <n v="8127"/>
    <n v="113842425"/>
    <s v="Recovery"/>
    <n v="200"/>
    <s v="AHY"/>
    <s v="F"/>
    <n v="1"/>
    <n v="2017"/>
    <n v="2016"/>
    <n v="12"/>
    <x v="0"/>
    <s v="12B"/>
    <x v="12"/>
    <n v="1"/>
    <n v="7"/>
    <x v="0"/>
    <x v="0"/>
  </r>
  <r>
    <n v="8128"/>
    <n v="113842426"/>
    <s v="Recovery"/>
    <n v="200"/>
    <s v="AHY"/>
    <s v="F"/>
    <n v="1"/>
    <n v="2016"/>
    <n v="2015"/>
    <n v="11"/>
    <x v="0"/>
    <s v="11B"/>
    <x v="14"/>
    <n v="1"/>
    <n v="7"/>
    <x v="0"/>
    <x v="0"/>
  </r>
  <r>
    <n v="8131"/>
    <n v="113842429"/>
    <s v="Recovery"/>
    <n v="200"/>
    <s v="HY"/>
    <s v="M"/>
    <n v="12"/>
    <n v="2011"/>
    <n v="2011"/>
    <n v="7"/>
    <x v="0"/>
    <s v="7B"/>
    <x v="9"/>
    <n v="1"/>
    <n v="7"/>
    <x v="0"/>
    <x v="0"/>
  </r>
  <r>
    <n v="8133"/>
    <n v="113842431"/>
    <s v="Recovery"/>
    <n v="200"/>
    <s v="AHY"/>
    <s v="F"/>
    <n v="9"/>
    <n v="2011"/>
    <n v="2011"/>
    <n v="7"/>
    <x v="0"/>
    <s v="7B"/>
    <x v="9"/>
    <n v="1"/>
    <n v="7"/>
    <x v="0"/>
    <x v="0"/>
  </r>
  <r>
    <n v="8135"/>
    <n v="113842433"/>
    <s v="Recovery"/>
    <n v="200"/>
    <s v="AHY"/>
    <s v="M"/>
    <n v="9"/>
    <n v="2019"/>
    <n v="2019"/>
    <n v="15"/>
    <x v="0"/>
    <s v="15B"/>
    <x v="11"/>
    <n v="1"/>
    <n v="7"/>
    <x v="0"/>
    <x v="0"/>
  </r>
  <r>
    <n v="8144"/>
    <n v="113842442"/>
    <s v="Recovery"/>
    <n v="200"/>
    <s v="AHY"/>
    <s v="F"/>
    <n v="12"/>
    <n v="2014"/>
    <n v="2014"/>
    <n v="10"/>
    <x v="0"/>
    <s v="10B"/>
    <x v="7"/>
    <n v="1"/>
    <n v="7"/>
    <x v="0"/>
    <x v="0"/>
  </r>
  <r>
    <n v="8145"/>
    <n v="113842443"/>
    <s v="Recovery"/>
    <n v="200"/>
    <s v="AHY"/>
    <s v="F"/>
    <n v="1"/>
    <n v="2012"/>
    <n v="2011"/>
    <n v="7"/>
    <x v="0"/>
    <s v="7B"/>
    <x v="9"/>
    <n v="1"/>
    <n v="7"/>
    <x v="0"/>
    <x v="0"/>
  </r>
  <r>
    <n v="8147"/>
    <n v="113842445"/>
    <s v="Recovery"/>
    <n v="200"/>
    <s v="AHY"/>
    <s v="M"/>
    <n v="9"/>
    <n v="2014"/>
    <n v="2014"/>
    <n v="10"/>
    <x v="0"/>
    <s v="10B"/>
    <x v="7"/>
    <n v="1"/>
    <n v="7"/>
    <x v="0"/>
    <x v="0"/>
  </r>
  <r>
    <n v="8152"/>
    <n v="113842450"/>
    <s v="Recovery"/>
    <n v="200"/>
    <s v="AHY"/>
    <s v="M"/>
    <n v="11"/>
    <n v="2013"/>
    <n v="2013"/>
    <n v="9"/>
    <x v="0"/>
    <s v="9B"/>
    <x v="4"/>
    <n v="1"/>
    <n v="7"/>
    <x v="0"/>
    <x v="0"/>
  </r>
  <r>
    <n v="8163"/>
    <n v="113842461"/>
    <s v="Recovery"/>
    <n v="200"/>
    <s v="AHY"/>
    <s v="M"/>
    <n v="9"/>
    <n v="2014"/>
    <n v="2014"/>
    <n v="10"/>
    <x v="0"/>
    <s v="10B"/>
    <x v="7"/>
    <n v="1"/>
    <n v="7"/>
    <x v="0"/>
    <x v="0"/>
  </r>
  <r>
    <n v="8166"/>
    <n v="113842464"/>
    <s v="Recovery"/>
    <n v="200"/>
    <s v="AHY"/>
    <s v="M"/>
    <n v="1"/>
    <n v="2016"/>
    <n v="2015"/>
    <n v="11"/>
    <x v="0"/>
    <s v="11B"/>
    <x v="14"/>
    <n v="1"/>
    <n v="7"/>
    <x v="0"/>
    <x v="0"/>
  </r>
  <r>
    <n v="8171"/>
    <n v="113842469"/>
    <s v="Recovery"/>
    <n v="200"/>
    <s v="AHY"/>
    <s v="M"/>
    <n v="12"/>
    <n v="2014"/>
    <n v="2014"/>
    <n v="10"/>
    <x v="0"/>
    <s v="10B"/>
    <x v="7"/>
    <n v="1"/>
    <n v="7"/>
    <x v="0"/>
    <x v="0"/>
  </r>
  <r>
    <n v="8173"/>
    <n v="113842471"/>
    <s v="Recovery"/>
    <n v="200"/>
    <s v="AHY"/>
    <s v="M"/>
    <n v="1"/>
    <n v="2015"/>
    <n v="2014"/>
    <n v="10"/>
    <x v="0"/>
    <s v="10B"/>
    <x v="7"/>
    <n v="1"/>
    <n v="7"/>
    <x v="0"/>
    <x v="0"/>
  </r>
  <r>
    <n v="8179"/>
    <n v="113842477"/>
    <s v="Recovery"/>
    <n v="200"/>
    <s v="AHY"/>
    <s v="M"/>
    <n v="11"/>
    <n v="2013"/>
    <n v="2013"/>
    <n v="9"/>
    <x v="0"/>
    <s v="9B"/>
    <x v="4"/>
    <n v="1"/>
    <n v="7"/>
    <x v="0"/>
    <x v="0"/>
  </r>
  <r>
    <n v="8183"/>
    <n v="113842481"/>
    <s v="Recovery"/>
    <n v="200"/>
    <s v="AHY"/>
    <s v="M"/>
    <n v="12"/>
    <n v="2012"/>
    <n v="2012"/>
    <n v="8"/>
    <x v="0"/>
    <s v="8B"/>
    <x v="3"/>
    <n v="1"/>
    <n v="7"/>
    <x v="0"/>
    <x v="0"/>
  </r>
  <r>
    <n v="8189"/>
    <n v="113842487"/>
    <s v="Recovery"/>
    <n v="200"/>
    <s v="AHY"/>
    <s v="M"/>
    <n v="9"/>
    <n v="2012"/>
    <n v="2012"/>
    <n v="8"/>
    <x v="0"/>
    <s v="8B"/>
    <x v="3"/>
    <n v="1"/>
    <n v="50"/>
    <x v="3"/>
    <x v="1"/>
  </r>
  <r>
    <n v="8195"/>
    <n v="113842493"/>
    <s v="Recovery"/>
    <n v="200"/>
    <s v="AHY"/>
    <s v="M"/>
    <n v="1"/>
    <n v="2012"/>
    <n v="2011"/>
    <n v="7"/>
    <x v="0"/>
    <s v="7B"/>
    <x v="9"/>
    <n v="1"/>
    <n v="7"/>
    <x v="0"/>
    <x v="0"/>
  </r>
  <r>
    <n v="8197"/>
    <n v="113842495"/>
    <s v="Recovery"/>
    <n v="200"/>
    <s v="AHY"/>
    <s v="F"/>
    <n v="1"/>
    <n v="2016"/>
    <n v="2015"/>
    <n v="11"/>
    <x v="0"/>
    <s v="11B"/>
    <x v="14"/>
    <n v="1"/>
    <n v="7"/>
    <x v="0"/>
    <x v="0"/>
  </r>
  <r>
    <n v="8206"/>
    <n v="113842504"/>
    <s v="Recovery"/>
    <n v="200"/>
    <s v="AHY"/>
    <s v="M"/>
    <n v="12"/>
    <n v="2015"/>
    <n v="2015"/>
    <n v="11"/>
    <x v="0"/>
    <s v="11B"/>
    <x v="14"/>
    <n v="1"/>
    <n v="7"/>
    <x v="0"/>
    <x v="0"/>
  </r>
  <r>
    <n v="8207"/>
    <n v="113842505"/>
    <s v="Recovery"/>
    <n v="200"/>
    <s v="AHY"/>
    <s v="M"/>
    <n v="12"/>
    <n v="2015"/>
    <n v="2015"/>
    <n v="11"/>
    <x v="0"/>
    <s v="11B"/>
    <x v="14"/>
    <n v="1"/>
    <n v="7"/>
    <x v="0"/>
    <x v="0"/>
  </r>
  <r>
    <n v="8208"/>
    <n v="113842506"/>
    <s v="Recovery"/>
    <n v="200"/>
    <s v="AHY"/>
    <s v="M"/>
    <n v="9"/>
    <n v="2019"/>
    <n v="2019"/>
    <n v="15"/>
    <x v="0"/>
    <s v="15B"/>
    <x v="11"/>
    <n v="1"/>
    <n v="7"/>
    <x v="0"/>
    <x v="0"/>
  </r>
  <r>
    <n v="8209"/>
    <n v="113842507"/>
    <s v="Recovery"/>
    <n v="200"/>
    <s v="AHY"/>
    <s v="F"/>
    <n v="1"/>
    <n v="2013"/>
    <n v="2012"/>
    <n v="8"/>
    <x v="0"/>
    <s v="8B"/>
    <x v="3"/>
    <n v="1"/>
    <n v="7"/>
    <x v="0"/>
    <x v="0"/>
  </r>
  <r>
    <n v="8213"/>
    <n v="113842511"/>
    <s v="Recovery"/>
    <n v="200"/>
    <s v="AHY"/>
    <s v="M"/>
    <n v="12"/>
    <n v="2011"/>
    <n v="2011"/>
    <n v="7"/>
    <x v="0"/>
    <s v="7B"/>
    <x v="9"/>
    <n v="1"/>
    <n v="7"/>
    <x v="0"/>
    <x v="0"/>
  </r>
  <r>
    <n v="8217"/>
    <n v="113842515"/>
    <s v="Recovery"/>
    <n v="200"/>
    <s v="AHY"/>
    <s v="M"/>
    <n v="12"/>
    <n v="2011"/>
    <n v="2011"/>
    <n v="7"/>
    <x v="0"/>
    <s v="7B"/>
    <x v="9"/>
    <n v="1"/>
    <n v="7"/>
    <x v="0"/>
    <x v="0"/>
  </r>
  <r>
    <n v="8219"/>
    <n v="113842517"/>
    <s v="Recovery"/>
    <n v="200"/>
    <s v="AHY"/>
    <s v="M"/>
    <n v="1"/>
    <n v="2013"/>
    <n v="2012"/>
    <n v="8"/>
    <x v="0"/>
    <s v="8B"/>
    <x v="3"/>
    <n v="1"/>
    <n v="7"/>
    <x v="0"/>
    <x v="0"/>
  </r>
  <r>
    <n v="8220"/>
    <n v="113842518"/>
    <s v="Recovery"/>
    <n v="200"/>
    <s v="AHY"/>
    <s v="M"/>
    <n v="9"/>
    <n v="2016"/>
    <n v="2016"/>
    <n v="12"/>
    <x v="0"/>
    <s v="12B"/>
    <x v="12"/>
    <n v="1"/>
    <n v="7"/>
    <x v="0"/>
    <x v="0"/>
  </r>
  <r>
    <n v="8221"/>
    <n v="113842519"/>
    <s v="Recovery"/>
    <n v="200"/>
    <s v="AHY"/>
    <s v="M"/>
    <n v="1"/>
    <n v="2013"/>
    <n v="2012"/>
    <n v="8"/>
    <x v="0"/>
    <s v="8B"/>
    <x v="3"/>
    <n v="1"/>
    <n v="7"/>
    <x v="0"/>
    <x v="0"/>
  </r>
  <r>
    <n v="8223"/>
    <n v="113842521"/>
    <s v="Recovery"/>
    <n v="200"/>
    <s v="AHY"/>
    <s v="M"/>
    <n v="1"/>
    <n v="2015"/>
    <n v="2014"/>
    <n v="10"/>
    <x v="0"/>
    <s v="10B"/>
    <x v="7"/>
    <n v="1"/>
    <n v="7"/>
    <x v="0"/>
    <x v="0"/>
  </r>
  <r>
    <n v="8225"/>
    <n v="113842523"/>
    <s v="Recovery"/>
    <n v="200"/>
    <s v="AHY"/>
    <s v="M"/>
    <n v="1"/>
    <n v="2019"/>
    <n v="2018"/>
    <n v="14"/>
    <x v="0"/>
    <s v="14B"/>
    <x v="10"/>
    <n v="1"/>
    <n v="7"/>
    <x v="0"/>
    <x v="0"/>
  </r>
  <r>
    <n v="8226"/>
    <n v="113842524"/>
    <s v="Recovery"/>
    <n v="200"/>
    <s v="AHY"/>
    <s v="M"/>
    <n v="12"/>
    <n v="2013"/>
    <n v="2013"/>
    <n v="9"/>
    <x v="0"/>
    <s v="9B"/>
    <x v="4"/>
    <n v="1"/>
    <n v="7"/>
    <x v="0"/>
    <x v="0"/>
  </r>
  <r>
    <n v="8228"/>
    <n v="113842526"/>
    <s v="Recovery"/>
    <n v="200"/>
    <s v="AHY"/>
    <s v="M"/>
    <n v="11"/>
    <n v="2017"/>
    <n v="2017"/>
    <n v="13"/>
    <x v="0"/>
    <s v="13B"/>
    <x v="13"/>
    <n v="1"/>
    <n v="7"/>
    <x v="0"/>
    <x v="0"/>
  </r>
  <r>
    <n v="8232"/>
    <n v="113842530"/>
    <s v="Recovery"/>
    <n v="200"/>
    <s v="AHY"/>
    <s v="M"/>
    <n v="1"/>
    <n v="2020"/>
    <n v="2019"/>
    <n v="15"/>
    <x v="0"/>
    <s v="15B"/>
    <x v="11"/>
    <n v="1"/>
    <n v="7"/>
    <x v="0"/>
    <x v="0"/>
  </r>
  <r>
    <n v="8233"/>
    <n v="113842531"/>
    <s v="Recovery"/>
    <n v="200"/>
    <s v="AHY"/>
    <s v="F"/>
    <n v="1"/>
    <n v="2016"/>
    <n v="2015"/>
    <n v="11"/>
    <x v="0"/>
    <s v="11B"/>
    <x v="14"/>
    <n v="1"/>
    <n v="7"/>
    <x v="0"/>
    <x v="0"/>
  </r>
  <r>
    <n v="8235"/>
    <n v="113842533"/>
    <s v="Recovery"/>
    <n v="200"/>
    <s v="AHY"/>
    <s v="F"/>
    <n v="9"/>
    <n v="2012"/>
    <n v="2012"/>
    <n v="8"/>
    <x v="0"/>
    <s v="8B"/>
    <x v="3"/>
    <n v="1"/>
    <n v="81"/>
    <x v="17"/>
    <x v="1"/>
  </r>
  <r>
    <n v="8236"/>
    <n v="113842534"/>
    <s v="Recovery"/>
    <n v="200"/>
    <s v="AHY"/>
    <s v="F"/>
    <n v="12"/>
    <n v="2011"/>
    <n v="2011"/>
    <n v="7"/>
    <x v="0"/>
    <s v="7B"/>
    <x v="9"/>
    <n v="1"/>
    <n v="7"/>
    <x v="0"/>
    <x v="0"/>
  </r>
  <r>
    <n v="8240"/>
    <n v="113842538"/>
    <s v="Recovery"/>
    <n v="200"/>
    <s v="AHY"/>
    <s v="M"/>
    <n v="9"/>
    <n v="2014"/>
    <n v="2014"/>
    <n v="10"/>
    <x v="0"/>
    <s v="10B"/>
    <x v="7"/>
    <n v="1"/>
    <n v="7"/>
    <x v="0"/>
    <x v="0"/>
  </r>
  <r>
    <n v="8245"/>
    <n v="113842543"/>
    <s v="Recovery"/>
    <n v="200"/>
    <s v="AHY"/>
    <s v="M"/>
    <n v="1"/>
    <n v="2015"/>
    <n v="2014"/>
    <n v="10"/>
    <x v="0"/>
    <s v="10B"/>
    <x v="7"/>
    <n v="1"/>
    <n v="7"/>
    <x v="0"/>
    <x v="0"/>
  </r>
  <r>
    <n v="8247"/>
    <n v="113842545"/>
    <s v="Recovery"/>
    <n v="200"/>
    <s v="AHY"/>
    <s v="M"/>
    <n v="9"/>
    <n v="2014"/>
    <n v="2014"/>
    <n v="10"/>
    <x v="0"/>
    <s v="10B"/>
    <x v="7"/>
    <n v="1"/>
    <n v="7"/>
    <x v="0"/>
    <x v="0"/>
  </r>
  <r>
    <n v="8254"/>
    <n v="113842552"/>
    <s v="Recovery"/>
    <n v="200"/>
    <s v="AHY"/>
    <s v="M"/>
    <n v="1"/>
    <n v="2013"/>
    <n v="2012"/>
    <n v="8"/>
    <x v="0"/>
    <s v="8B"/>
    <x v="3"/>
    <n v="1"/>
    <n v="7"/>
    <x v="0"/>
    <x v="0"/>
  </r>
  <r>
    <n v="8255"/>
    <n v="113842553"/>
    <s v="Recovery"/>
    <n v="200"/>
    <s v="AHY"/>
    <s v="M"/>
    <n v="9"/>
    <n v="2012"/>
    <n v="2012"/>
    <n v="8"/>
    <x v="0"/>
    <s v="8B"/>
    <x v="3"/>
    <n v="1"/>
    <n v="81"/>
    <x v="17"/>
    <x v="1"/>
  </r>
  <r>
    <n v="8262"/>
    <n v="113842560"/>
    <s v="Recovery"/>
    <n v="200"/>
    <s v="AHY"/>
    <s v="F"/>
    <n v="1"/>
    <n v="2016"/>
    <n v="2015"/>
    <n v="11"/>
    <x v="0"/>
    <s v="11B"/>
    <x v="14"/>
    <n v="1"/>
    <n v="7"/>
    <x v="0"/>
    <x v="0"/>
  </r>
  <r>
    <n v="8263"/>
    <n v="113842561"/>
    <s v="Recovery"/>
    <n v="200"/>
    <s v="AHY"/>
    <s v="F"/>
    <n v="1"/>
    <n v="2012"/>
    <n v="2011"/>
    <n v="7"/>
    <x v="0"/>
    <s v="7B"/>
    <x v="9"/>
    <n v="1"/>
    <n v="7"/>
    <x v="0"/>
    <x v="0"/>
  </r>
  <r>
    <n v="8264"/>
    <n v="113842562"/>
    <s v="Recovery"/>
    <n v="200"/>
    <s v="AHY"/>
    <s v="F"/>
    <n v="11"/>
    <n v="2012"/>
    <n v="2012"/>
    <n v="8"/>
    <x v="0"/>
    <s v="8B"/>
    <x v="3"/>
    <n v="1"/>
    <n v="7"/>
    <x v="0"/>
    <x v="0"/>
  </r>
  <r>
    <n v="8266"/>
    <n v="113842564"/>
    <s v="Recovery"/>
    <n v="200"/>
    <s v="AHY"/>
    <s v="M"/>
    <n v="1"/>
    <n v="2019"/>
    <n v="2018"/>
    <n v="14"/>
    <x v="0"/>
    <s v="14B"/>
    <x v="10"/>
    <n v="1"/>
    <n v="7"/>
    <x v="0"/>
    <x v="0"/>
  </r>
  <r>
    <n v="8269"/>
    <n v="113842567"/>
    <s v="Recovery"/>
    <n v="200"/>
    <s v="AHY"/>
    <s v="F"/>
    <n v="1"/>
    <n v="2015"/>
    <n v="2014"/>
    <n v="10"/>
    <x v="0"/>
    <s v="10B"/>
    <x v="7"/>
    <n v="1"/>
    <n v="7"/>
    <x v="0"/>
    <x v="0"/>
  </r>
  <r>
    <n v="8270"/>
    <n v="113842568"/>
    <s v="Recovery"/>
    <n v="200"/>
    <s v="AHY"/>
    <s v="M"/>
    <n v="11"/>
    <n v="2012"/>
    <n v="2012"/>
    <n v="8"/>
    <x v="0"/>
    <s v="8B"/>
    <x v="3"/>
    <n v="1"/>
    <n v="7"/>
    <x v="0"/>
    <x v="0"/>
  </r>
  <r>
    <n v="8271"/>
    <n v="113842569"/>
    <s v="Recovery"/>
    <n v="200"/>
    <s v="AHY"/>
    <s v="M"/>
    <n v="11"/>
    <n v="2013"/>
    <n v="2013"/>
    <n v="9"/>
    <x v="0"/>
    <s v="9B"/>
    <x v="4"/>
    <n v="1"/>
    <n v="7"/>
    <x v="0"/>
    <x v="0"/>
  </r>
  <r>
    <n v="8273"/>
    <n v="113842571"/>
    <s v="Recovery"/>
    <n v="200"/>
    <s v="AHY"/>
    <s v="M"/>
    <n v="1"/>
    <n v="2013"/>
    <n v="2012"/>
    <n v="8"/>
    <x v="0"/>
    <s v="8B"/>
    <x v="3"/>
    <n v="1"/>
    <n v="7"/>
    <x v="0"/>
    <x v="0"/>
  </r>
  <r>
    <n v="8274"/>
    <n v="113842572"/>
    <s v="Recovery"/>
    <n v="200"/>
    <s v="AHY"/>
    <s v="F"/>
    <n v="2"/>
    <n v="2013"/>
    <n v="2012"/>
    <n v="8"/>
    <x v="0"/>
    <s v="8B"/>
    <x v="3"/>
    <n v="1"/>
    <n v="7"/>
    <x v="0"/>
    <x v="0"/>
  </r>
  <r>
    <n v="8275"/>
    <n v="113842573"/>
    <s v="Recovery"/>
    <n v="200"/>
    <s v="AHY"/>
    <s v="M"/>
    <n v="12"/>
    <n v="2020"/>
    <n v="2020"/>
    <n v="16"/>
    <x v="0"/>
    <s v="16B"/>
    <x v="15"/>
    <n v="1"/>
    <n v="7"/>
    <x v="0"/>
    <x v="0"/>
  </r>
  <r>
    <n v="8286"/>
    <n v="113842584"/>
    <s v="Recovery"/>
    <n v="200"/>
    <s v="AHY"/>
    <s v="F"/>
    <n v="1"/>
    <n v="2015"/>
    <n v="2014"/>
    <n v="10"/>
    <x v="0"/>
    <s v="10B"/>
    <x v="7"/>
    <n v="1"/>
    <n v="7"/>
    <x v="0"/>
    <x v="0"/>
  </r>
  <r>
    <n v="8287"/>
    <n v="113842585"/>
    <s v="Recovery"/>
    <n v="200"/>
    <s v="AHY"/>
    <s v="M"/>
    <n v="12"/>
    <n v="2014"/>
    <n v="2014"/>
    <n v="10"/>
    <x v="0"/>
    <s v="10B"/>
    <x v="7"/>
    <n v="1"/>
    <n v="7"/>
    <x v="0"/>
    <x v="0"/>
  </r>
  <r>
    <n v="8288"/>
    <n v="113842586"/>
    <s v="Recovery"/>
    <n v="200"/>
    <s v="AHY"/>
    <s v="M"/>
    <n v="1"/>
    <n v="2018"/>
    <n v="2017"/>
    <n v="13"/>
    <x v="0"/>
    <s v="13B"/>
    <x v="13"/>
    <n v="1"/>
    <n v="7"/>
    <x v="0"/>
    <x v="0"/>
  </r>
  <r>
    <n v="8289"/>
    <n v="113842587"/>
    <s v="Recovery"/>
    <n v="200"/>
    <s v="AHY"/>
    <s v="F"/>
    <n v="11"/>
    <n v="2012"/>
    <n v="2012"/>
    <n v="8"/>
    <x v="0"/>
    <s v="8B"/>
    <x v="3"/>
    <n v="1"/>
    <n v="7"/>
    <x v="0"/>
    <x v="0"/>
  </r>
  <r>
    <n v="8307"/>
    <n v="113842605"/>
    <s v="Recovery"/>
    <n v="200"/>
    <s v="HY"/>
    <s v="M"/>
    <n v="9"/>
    <n v="2011"/>
    <n v="2011"/>
    <n v="7"/>
    <x v="0"/>
    <s v="7B"/>
    <x v="9"/>
    <n v="1"/>
    <n v="7"/>
    <x v="0"/>
    <x v="0"/>
  </r>
  <r>
    <n v="8308"/>
    <n v="113842606"/>
    <s v="Recovery"/>
    <n v="200"/>
    <s v="AHY"/>
    <s v="M"/>
    <n v="1"/>
    <n v="2013"/>
    <n v="2012"/>
    <n v="8"/>
    <x v="0"/>
    <s v="8B"/>
    <x v="3"/>
    <n v="1"/>
    <n v="7"/>
    <x v="0"/>
    <x v="0"/>
  </r>
  <r>
    <n v="8309"/>
    <n v="113842607"/>
    <s v="Recovery"/>
    <n v="200"/>
    <s v="AHY"/>
    <s v="M"/>
    <n v="12"/>
    <n v="2012"/>
    <n v="2012"/>
    <n v="8"/>
    <x v="0"/>
    <s v="8B"/>
    <x v="3"/>
    <n v="1"/>
    <n v="7"/>
    <x v="0"/>
    <x v="0"/>
  </r>
  <r>
    <n v="8310"/>
    <n v="113842608"/>
    <s v="Recovery"/>
    <n v="200"/>
    <s v="AHY"/>
    <s v="M"/>
    <n v="9"/>
    <n v="2015"/>
    <n v="2015"/>
    <n v="11"/>
    <x v="0"/>
    <s v="11B"/>
    <x v="14"/>
    <n v="1"/>
    <n v="7"/>
    <x v="0"/>
    <x v="0"/>
  </r>
  <r>
    <n v="8312"/>
    <n v="113842610"/>
    <s v="Recovery"/>
    <n v="200"/>
    <s v="AHY"/>
    <s v="F"/>
    <n v="11"/>
    <n v="2013"/>
    <n v="2013"/>
    <n v="9"/>
    <x v="0"/>
    <s v="9B"/>
    <x v="4"/>
    <n v="1"/>
    <n v="7"/>
    <x v="0"/>
    <x v="0"/>
  </r>
  <r>
    <n v="8319"/>
    <n v="113842617"/>
    <s v="Recovery"/>
    <n v="200"/>
    <s v="AHY"/>
    <s v="M"/>
    <n v="12"/>
    <n v="2013"/>
    <n v="2013"/>
    <n v="9"/>
    <x v="0"/>
    <s v="9B"/>
    <x v="4"/>
    <n v="1"/>
    <n v="7"/>
    <x v="0"/>
    <x v="0"/>
  </r>
  <r>
    <n v="8320"/>
    <n v="113842618"/>
    <s v="Recovery"/>
    <n v="200"/>
    <s v="AHY"/>
    <s v="F"/>
    <n v="1"/>
    <n v="2012"/>
    <n v="2011"/>
    <n v="7"/>
    <x v="0"/>
    <s v="7B"/>
    <x v="9"/>
    <n v="1"/>
    <n v="7"/>
    <x v="0"/>
    <x v="0"/>
  </r>
  <r>
    <n v="8322"/>
    <n v="113842620"/>
    <s v="Recovery"/>
    <n v="200"/>
    <s v="AHY"/>
    <s v="F"/>
    <n v="1"/>
    <n v="2017"/>
    <n v="2016"/>
    <n v="12"/>
    <x v="0"/>
    <s v="12B"/>
    <x v="12"/>
    <n v="1"/>
    <n v="7"/>
    <x v="0"/>
    <x v="0"/>
  </r>
  <r>
    <n v="8325"/>
    <n v="113842623"/>
    <s v="Recovery"/>
    <n v="200"/>
    <s v="AHY"/>
    <s v="M"/>
    <n v="1"/>
    <n v="2015"/>
    <n v="2014"/>
    <n v="10"/>
    <x v="0"/>
    <s v="10B"/>
    <x v="7"/>
    <n v="1"/>
    <n v="7"/>
    <x v="0"/>
    <x v="0"/>
  </r>
  <r>
    <n v="8326"/>
    <n v="113842624"/>
    <s v="Recovery"/>
    <n v="200"/>
    <s v="AHY"/>
    <s v="F"/>
    <n v="9"/>
    <n v="2014"/>
    <n v="2014"/>
    <n v="10"/>
    <x v="0"/>
    <s v="10B"/>
    <x v="7"/>
    <n v="1"/>
    <n v="7"/>
    <x v="0"/>
    <x v="0"/>
  </r>
  <r>
    <n v="8327"/>
    <n v="113842625"/>
    <s v="Recovery"/>
    <n v="200"/>
    <s v="AHY"/>
    <s v="F"/>
    <n v="9"/>
    <n v="2015"/>
    <n v="2015"/>
    <n v="11"/>
    <x v="0"/>
    <s v="11B"/>
    <x v="14"/>
    <n v="1"/>
    <n v="7"/>
    <x v="0"/>
    <x v="0"/>
  </r>
  <r>
    <n v="8328"/>
    <n v="113842626"/>
    <s v="Recovery"/>
    <n v="200"/>
    <s v="AHY"/>
    <s v="M"/>
    <n v="1"/>
    <n v="2012"/>
    <n v="2011"/>
    <n v="7"/>
    <x v="0"/>
    <s v="7B"/>
    <x v="9"/>
    <n v="1"/>
    <n v="7"/>
    <x v="0"/>
    <x v="0"/>
  </r>
  <r>
    <n v="8331"/>
    <n v="113842629"/>
    <s v="Recovery"/>
    <n v="200"/>
    <s v="AHY"/>
    <s v="F"/>
    <n v="1"/>
    <n v="2014"/>
    <n v="2013"/>
    <n v="9"/>
    <x v="0"/>
    <s v="9B"/>
    <x v="4"/>
    <n v="1"/>
    <n v="7"/>
    <x v="0"/>
    <x v="0"/>
  </r>
  <r>
    <n v="8343"/>
    <n v="113842641"/>
    <s v="Recovery"/>
    <n v="200"/>
    <s v="AHY"/>
    <s v="F"/>
    <n v="1"/>
    <n v="2015"/>
    <n v="2014"/>
    <n v="10"/>
    <x v="0"/>
    <s v="10B"/>
    <x v="7"/>
    <n v="1"/>
    <n v="7"/>
    <x v="0"/>
    <x v="0"/>
  </r>
  <r>
    <n v="8344"/>
    <n v="113842642"/>
    <s v="Recovery"/>
    <n v="200"/>
    <s v="AHY"/>
    <s v="M"/>
    <n v="1"/>
    <n v="2013"/>
    <n v="2012"/>
    <n v="8"/>
    <x v="0"/>
    <s v="8B"/>
    <x v="3"/>
    <n v="1"/>
    <n v="7"/>
    <x v="0"/>
    <x v="0"/>
  </r>
  <r>
    <n v="8350"/>
    <n v="113842648"/>
    <s v="Recovery"/>
    <n v="200"/>
    <s v="AHY"/>
    <s v="F"/>
    <n v="9"/>
    <n v="2014"/>
    <n v="2014"/>
    <n v="10"/>
    <x v="0"/>
    <s v="10B"/>
    <x v="7"/>
    <n v="1"/>
    <n v="7"/>
    <x v="0"/>
    <x v="0"/>
  </r>
  <r>
    <n v="8358"/>
    <n v="113842656"/>
    <s v="Recovery"/>
    <n v="200"/>
    <s v="AHY"/>
    <s v="F"/>
    <n v="12"/>
    <n v="2011"/>
    <n v="2011"/>
    <n v="7"/>
    <x v="0"/>
    <s v="7B"/>
    <x v="9"/>
    <n v="1"/>
    <n v="7"/>
    <x v="0"/>
    <x v="0"/>
  </r>
  <r>
    <n v="8362"/>
    <n v="113842660"/>
    <s v="Recovery"/>
    <n v="200"/>
    <s v="AHY"/>
    <s v="M"/>
    <n v="1"/>
    <n v="2015"/>
    <n v="2014"/>
    <n v="10"/>
    <x v="0"/>
    <s v="10B"/>
    <x v="7"/>
    <n v="1"/>
    <n v="7"/>
    <x v="0"/>
    <x v="0"/>
  </r>
  <r>
    <n v="8363"/>
    <n v="113842661"/>
    <s v="Recovery"/>
    <n v="200"/>
    <s v="AHY"/>
    <s v="M"/>
    <n v="12"/>
    <n v="2013"/>
    <n v="2013"/>
    <n v="9"/>
    <x v="0"/>
    <s v="9B"/>
    <x v="4"/>
    <n v="1"/>
    <n v="7"/>
    <x v="0"/>
    <x v="0"/>
  </r>
  <r>
    <n v="8364"/>
    <n v="113842662"/>
    <s v="Recovery"/>
    <n v="200"/>
    <s v="AHY"/>
    <s v="M"/>
    <n v="11"/>
    <n v="2016"/>
    <n v="2016"/>
    <n v="12"/>
    <x v="0"/>
    <s v="12B"/>
    <x v="12"/>
    <n v="1"/>
    <n v="7"/>
    <x v="0"/>
    <x v="0"/>
  </r>
  <r>
    <n v="8370"/>
    <n v="113842668"/>
    <s v="Recovery"/>
    <n v="200"/>
    <s v="AHY"/>
    <s v="M"/>
    <n v="9"/>
    <n v="2016"/>
    <n v="2016"/>
    <n v="12"/>
    <x v="0"/>
    <s v="12B"/>
    <x v="12"/>
    <n v="1"/>
    <n v="7"/>
    <x v="0"/>
    <x v="0"/>
  </r>
  <r>
    <n v="8373"/>
    <n v="113842671"/>
    <s v="Recovery"/>
    <n v="200"/>
    <s v="AHY"/>
    <s v="F"/>
    <n v="12"/>
    <n v="2013"/>
    <n v="2013"/>
    <n v="9"/>
    <x v="0"/>
    <s v="9B"/>
    <x v="4"/>
    <n v="1"/>
    <n v="7"/>
    <x v="0"/>
    <x v="0"/>
  </r>
  <r>
    <n v="8375"/>
    <n v="113842673"/>
    <s v="Recovery"/>
    <n v="200"/>
    <s v="AHY"/>
    <s v="F"/>
    <n v="9"/>
    <n v="2013"/>
    <n v="2013"/>
    <n v="9"/>
    <x v="0"/>
    <s v="9B"/>
    <x v="4"/>
    <n v="1"/>
    <n v="7"/>
    <x v="0"/>
    <x v="0"/>
  </r>
  <r>
    <n v="8376"/>
    <n v="113842674"/>
    <s v="Recovery"/>
    <n v="200"/>
    <s v="AHY"/>
    <s v="F"/>
    <n v="1"/>
    <n v="2014"/>
    <n v="2013"/>
    <n v="9"/>
    <x v="0"/>
    <s v="9B"/>
    <x v="4"/>
    <n v="1"/>
    <n v="7"/>
    <x v="0"/>
    <x v="0"/>
  </r>
  <r>
    <n v="8387"/>
    <n v="113842685"/>
    <s v="Recovery"/>
    <n v="200"/>
    <s v="AHY"/>
    <s v="F"/>
    <n v="1"/>
    <n v="2014"/>
    <n v="2013"/>
    <n v="9"/>
    <x v="0"/>
    <s v="9B"/>
    <x v="4"/>
    <n v="1"/>
    <n v="7"/>
    <x v="0"/>
    <x v="0"/>
  </r>
  <r>
    <n v="8388"/>
    <n v="113842686"/>
    <s v="Recovery"/>
    <n v="200"/>
    <s v="AHY"/>
    <s v="M"/>
    <n v="12"/>
    <n v="2019"/>
    <n v="2019"/>
    <n v="15"/>
    <x v="0"/>
    <s v="15B"/>
    <x v="11"/>
    <n v="1"/>
    <n v="7"/>
    <x v="0"/>
    <x v="0"/>
  </r>
  <r>
    <n v="8393"/>
    <n v="113842691"/>
    <s v="Recovery"/>
    <n v="200"/>
    <s v="AHY"/>
    <s v="F"/>
    <n v="9"/>
    <n v="2012"/>
    <n v="2012"/>
    <n v="8"/>
    <x v="0"/>
    <s v="8B"/>
    <x v="3"/>
    <n v="1"/>
    <n v="7"/>
    <x v="0"/>
    <x v="0"/>
  </r>
  <r>
    <n v="8399"/>
    <n v="113842697"/>
    <s v="Recovery"/>
    <n v="200"/>
    <s v="AHY"/>
    <s v="M"/>
    <n v="1"/>
    <n v="2012"/>
    <n v="2011"/>
    <n v="7"/>
    <x v="0"/>
    <s v="7B"/>
    <x v="9"/>
    <n v="1"/>
    <n v="7"/>
    <x v="0"/>
    <x v="0"/>
  </r>
  <r>
    <n v="8405"/>
    <n v="107821103"/>
    <s v="Recovery"/>
    <n v="200"/>
    <s v="AHY"/>
    <s v="F"/>
    <n v="11"/>
    <n v="2012"/>
    <n v="2012"/>
    <n v="8"/>
    <x v="0"/>
    <s v="8B"/>
    <x v="3"/>
    <n v="1"/>
    <n v="7"/>
    <x v="0"/>
    <x v="0"/>
  </r>
  <r>
    <n v="8408"/>
    <n v="107821106"/>
    <s v="Recovery"/>
    <n v="200"/>
    <s v="AHY"/>
    <s v="M"/>
    <n v="9"/>
    <n v="2019"/>
    <n v="2019"/>
    <n v="15"/>
    <x v="0"/>
    <s v="15B"/>
    <x v="11"/>
    <n v="1"/>
    <n v="7"/>
    <x v="0"/>
    <x v="0"/>
  </r>
  <r>
    <n v="8418"/>
    <n v="107821116"/>
    <s v="Recovery"/>
    <n v="200"/>
    <s v="AHY"/>
    <s v="M"/>
    <n v="1"/>
    <n v="2012"/>
    <n v="2011"/>
    <n v="7"/>
    <x v="0"/>
    <s v="7B"/>
    <x v="9"/>
    <n v="1"/>
    <n v="7"/>
    <x v="0"/>
    <x v="0"/>
  </r>
  <r>
    <n v="8420"/>
    <n v="107821118"/>
    <s v="Recovery"/>
    <n v="200"/>
    <s v="AHY"/>
    <s v="F"/>
    <n v="1"/>
    <n v="2013"/>
    <n v="2012"/>
    <n v="8"/>
    <x v="0"/>
    <s v="8B"/>
    <x v="3"/>
    <n v="1"/>
    <n v="7"/>
    <x v="0"/>
    <x v="0"/>
  </r>
  <r>
    <n v="8423"/>
    <n v="107821121"/>
    <s v="Recovery"/>
    <n v="200"/>
    <s v="AHY"/>
    <s v="F"/>
    <n v="1"/>
    <n v="2012"/>
    <n v="2011"/>
    <n v="7"/>
    <x v="0"/>
    <s v="7B"/>
    <x v="9"/>
    <n v="1"/>
    <n v="7"/>
    <x v="0"/>
    <x v="0"/>
  </r>
  <r>
    <n v="8424"/>
    <n v="107821122"/>
    <s v="Recovery"/>
    <n v="200"/>
    <s v="AHY"/>
    <s v="M"/>
    <n v="1"/>
    <n v="2013"/>
    <n v="2012"/>
    <n v="8"/>
    <x v="0"/>
    <s v="8B"/>
    <x v="3"/>
    <n v="1"/>
    <n v="7"/>
    <x v="0"/>
    <x v="0"/>
  </r>
  <r>
    <n v="8425"/>
    <n v="107821123"/>
    <s v="Recovery"/>
    <n v="200"/>
    <s v="AHY"/>
    <s v="F"/>
    <n v="9"/>
    <n v="2020"/>
    <n v="2020"/>
    <n v="16"/>
    <x v="0"/>
    <s v="16B"/>
    <x v="15"/>
    <n v="1"/>
    <n v="7"/>
    <x v="0"/>
    <x v="0"/>
  </r>
  <r>
    <n v="8432"/>
    <n v="107821130"/>
    <s v="Recovery"/>
    <n v="200"/>
    <s v="AHY"/>
    <s v="M"/>
    <n v="11"/>
    <n v="2015"/>
    <n v="2015"/>
    <n v="11"/>
    <x v="0"/>
    <s v="11B"/>
    <x v="14"/>
    <n v="1"/>
    <n v="7"/>
    <x v="0"/>
    <x v="0"/>
  </r>
  <r>
    <n v="8435"/>
    <n v="107821133"/>
    <s v="Recovery"/>
    <n v="200"/>
    <s v="AHY"/>
    <s v="M"/>
    <n v="1"/>
    <n v="2017"/>
    <n v="2016"/>
    <n v="12"/>
    <x v="0"/>
    <s v="12B"/>
    <x v="12"/>
    <n v="1"/>
    <n v="7"/>
    <x v="0"/>
    <x v="0"/>
  </r>
  <r>
    <n v="8447"/>
    <n v="107821145"/>
    <s v="Recovery"/>
    <n v="200"/>
    <s v="AHY"/>
    <s v="U"/>
    <n v="9"/>
    <n v="2018"/>
    <n v="2018"/>
    <n v="14"/>
    <x v="0"/>
    <s v="14B"/>
    <x v="10"/>
    <n v="1"/>
    <n v="7"/>
    <x v="0"/>
    <x v="0"/>
  </r>
  <r>
    <n v="8450"/>
    <n v="107821148"/>
    <s v="Recovery"/>
    <n v="200"/>
    <s v="AHY"/>
    <s v="F"/>
    <n v="1"/>
    <n v="2012"/>
    <n v="2011"/>
    <n v="7"/>
    <x v="0"/>
    <s v="7B"/>
    <x v="9"/>
    <n v="1"/>
    <n v="7"/>
    <x v="0"/>
    <x v="0"/>
  </r>
  <r>
    <n v="8451"/>
    <n v="107821149"/>
    <s v="Recovery"/>
    <n v="200"/>
    <s v="AHY"/>
    <s v="F"/>
    <n v="1"/>
    <n v="2018"/>
    <n v="2017"/>
    <n v="13"/>
    <x v="0"/>
    <s v="13B"/>
    <x v="13"/>
    <n v="1"/>
    <n v="7"/>
    <x v="0"/>
    <x v="0"/>
  </r>
  <r>
    <n v="8452"/>
    <n v="107821150"/>
    <s v="Recovery"/>
    <n v="200"/>
    <s v="AHY"/>
    <s v="M"/>
    <n v="12"/>
    <n v="2012"/>
    <n v="2012"/>
    <n v="8"/>
    <x v="0"/>
    <s v="8B"/>
    <x v="3"/>
    <n v="1"/>
    <n v="7"/>
    <x v="0"/>
    <x v="0"/>
  </r>
  <r>
    <n v="8455"/>
    <n v="107821153"/>
    <s v="Recovery"/>
    <n v="200"/>
    <s v="AHY"/>
    <s v="M"/>
    <n v="1"/>
    <n v="2012"/>
    <n v="2011"/>
    <n v="7"/>
    <x v="0"/>
    <s v="7B"/>
    <x v="9"/>
    <n v="1"/>
    <n v="7"/>
    <x v="0"/>
    <x v="0"/>
  </r>
  <r>
    <n v="8458"/>
    <n v="107821156"/>
    <s v="Recovery"/>
    <n v="200"/>
    <s v="AHY"/>
    <s v="F"/>
    <n v="1"/>
    <n v="2012"/>
    <n v="2011"/>
    <n v="7"/>
    <x v="0"/>
    <s v="7B"/>
    <x v="9"/>
    <n v="1"/>
    <n v="7"/>
    <x v="0"/>
    <x v="0"/>
  </r>
  <r>
    <n v="8461"/>
    <n v="107821159"/>
    <s v="Recovery"/>
    <n v="200"/>
    <s v="AHY"/>
    <s v="M"/>
    <n v="11"/>
    <n v="2012"/>
    <n v="2012"/>
    <n v="8"/>
    <x v="0"/>
    <s v="8B"/>
    <x v="3"/>
    <n v="1"/>
    <n v="7"/>
    <x v="0"/>
    <x v="0"/>
  </r>
  <r>
    <n v="8462"/>
    <n v="107821160"/>
    <s v="Recovery"/>
    <n v="200"/>
    <s v="AHY"/>
    <s v="F"/>
    <n v="1"/>
    <n v="2012"/>
    <n v="2011"/>
    <n v="7"/>
    <x v="0"/>
    <s v="7B"/>
    <x v="9"/>
    <n v="1"/>
    <n v="7"/>
    <x v="0"/>
    <x v="0"/>
  </r>
  <r>
    <n v="8464"/>
    <n v="107821162"/>
    <s v="Recovery"/>
    <n v="200"/>
    <s v="AHY"/>
    <s v="F"/>
    <n v="12"/>
    <n v="2012"/>
    <n v="2012"/>
    <n v="8"/>
    <x v="0"/>
    <s v="8B"/>
    <x v="3"/>
    <n v="1"/>
    <n v="7"/>
    <x v="0"/>
    <x v="0"/>
  </r>
  <r>
    <n v="8471"/>
    <n v="107821169"/>
    <s v="Recovery"/>
    <n v="200"/>
    <s v="AHY"/>
    <s v="F"/>
    <n v="12"/>
    <n v="2012"/>
    <n v="2012"/>
    <n v="8"/>
    <x v="0"/>
    <s v="8B"/>
    <x v="3"/>
    <n v="1"/>
    <n v="7"/>
    <x v="0"/>
    <x v="0"/>
  </r>
  <r>
    <n v="8473"/>
    <n v="107821171"/>
    <s v="Recovery"/>
    <n v="200"/>
    <s v="AHY"/>
    <s v="F"/>
    <n v="11"/>
    <n v="2011"/>
    <n v="2011"/>
    <n v="7"/>
    <x v="0"/>
    <s v="7B"/>
    <x v="9"/>
    <n v="1"/>
    <n v="7"/>
    <x v="0"/>
    <x v="0"/>
  </r>
  <r>
    <n v="8475"/>
    <n v="107821173"/>
    <s v="Recovery"/>
    <n v="200"/>
    <s v="AHY"/>
    <s v="F"/>
    <n v="1"/>
    <n v="2013"/>
    <n v="2012"/>
    <n v="8"/>
    <x v="0"/>
    <s v="8B"/>
    <x v="3"/>
    <n v="1"/>
    <n v="7"/>
    <x v="0"/>
    <x v="0"/>
  </r>
  <r>
    <n v="8477"/>
    <n v="107821175"/>
    <s v="Recovery"/>
    <n v="200"/>
    <s v="AHY"/>
    <s v="M"/>
    <n v="1"/>
    <n v="2014"/>
    <n v="2013"/>
    <n v="9"/>
    <x v="0"/>
    <s v="9B"/>
    <x v="4"/>
    <n v="1"/>
    <n v="7"/>
    <x v="0"/>
    <x v="0"/>
  </r>
  <r>
    <n v="8481"/>
    <n v="107821179"/>
    <s v="Recovery"/>
    <n v="200"/>
    <s v="AHY"/>
    <s v="F"/>
    <n v="1"/>
    <n v="2014"/>
    <n v="2013"/>
    <n v="9"/>
    <x v="0"/>
    <s v="9B"/>
    <x v="4"/>
    <n v="1"/>
    <n v="7"/>
    <x v="0"/>
    <x v="0"/>
  </r>
  <r>
    <n v="8483"/>
    <n v="107821181"/>
    <s v="Recovery"/>
    <n v="200"/>
    <s v="AHY"/>
    <s v="M"/>
    <n v="1"/>
    <n v="2019"/>
    <n v="2018"/>
    <n v="14"/>
    <x v="0"/>
    <s v="14B"/>
    <x v="10"/>
    <n v="1"/>
    <n v="7"/>
    <x v="0"/>
    <x v="0"/>
  </r>
  <r>
    <n v="8484"/>
    <n v="107821182"/>
    <s v="Recovery"/>
    <n v="200"/>
    <s v="AHY"/>
    <s v="M"/>
    <n v="1"/>
    <n v="2013"/>
    <n v="2012"/>
    <n v="8"/>
    <x v="0"/>
    <s v="8B"/>
    <x v="3"/>
    <n v="1"/>
    <n v="7"/>
    <x v="0"/>
    <x v="0"/>
  </r>
  <r>
    <n v="8489"/>
    <n v="107821187"/>
    <s v="Recovery"/>
    <n v="200"/>
    <s v="AHY"/>
    <s v="F"/>
    <n v="1"/>
    <n v="2012"/>
    <n v="2011"/>
    <n v="7"/>
    <x v="0"/>
    <s v="7B"/>
    <x v="9"/>
    <n v="1"/>
    <n v="7"/>
    <x v="0"/>
    <x v="0"/>
  </r>
  <r>
    <n v="8494"/>
    <n v="107821192"/>
    <s v="Recovery"/>
    <n v="200"/>
    <s v="AHY"/>
    <s v="M"/>
    <n v="12"/>
    <n v="2012"/>
    <n v="2012"/>
    <n v="8"/>
    <x v="0"/>
    <s v="8B"/>
    <x v="3"/>
    <n v="1"/>
    <n v="7"/>
    <x v="0"/>
    <x v="0"/>
  </r>
  <r>
    <n v="8495"/>
    <n v="107821193"/>
    <s v="Recovery"/>
    <n v="200"/>
    <s v="AHY"/>
    <s v="F"/>
    <n v="1"/>
    <n v="2013"/>
    <n v="2012"/>
    <n v="8"/>
    <x v="0"/>
    <s v="8B"/>
    <x v="3"/>
    <n v="1"/>
    <n v="7"/>
    <x v="0"/>
    <x v="0"/>
  </r>
  <r>
    <n v="8496"/>
    <n v="107821194"/>
    <s v="Recovery"/>
    <n v="200"/>
    <s v="AHY"/>
    <s v="M"/>
    <n v="1"/>
    <n v="2014"/>
    <n v="2013"/>
    <n v="9"/>
    <x v="0"/>
    <s v="9B"/>
    <x v="4"/>
    <n v="1"/>
    <n v="7"/>
    <x v="0"/>
    <x v="0"/>
  </r>
  <r>
    <n v="8500"/>
    <n v="107821198"/>
    <s v="Recovery"/>
    <n v="200"/>
    <s v="AHY"/>
    <s v="M"/>
    <n v="1"/>
    <n v="2013"/>
    <n v="2012"/>
    <n v="8"/>
    <x v="0"/>
    <s v="8B"/>
    <x v="3"/>
    <n v="1"/>
    <n v="7"/>
    <x v="0"/>
    <x v="0"/>
  </r>
  <r>
    <n v="8505"/>
    <n v="113842003"/>
    <s v="Recovery"/>
    <n v="200"/>
    <s v="AHY"/>
    <s v="F"/>
    <n v="1"/>
    <n v="2012"/>
    <n v="2011"/>
    <n v="7"/>
    <x v="0"/>
    <s v="7B"/>
    <x v="9"/>
    <n v="1"/>
    <n v="7"/>
    <x v="0"/>
    <x v="0"/>
  </r>
  <r>
    <n v="8506"/>
    <n v="113842004"/>
    <s v="Recovery"/>
    <n v="200"/>
    <s v="AHY"/>
    <s v="F"/>
    <n v="9"/>
    <n v="2012"/>
    <n v="2012"/>
    <n v="8"/>
    <x v="0"/>
    <s v="8B"/>
    <x v="3"/>
    <n v="1"/>
    <n v="7"/>
    <x v="0"/>
    <x v="0"/>
  </r>
  <r>
    <n v="8510"/>
    <n v="113842008"/>
    <s v="Recovery"/>
    <n v="200"/>
    <s v="AHY"/>
    <s v="M"/>
    <n v="9"/>
    <n v="2012"/>
    <n v="2012"/>
    <n v="8"/>
    <x v="0"/>
    <s v="8B"/>
    <x v="3"/>
    <n v="1"/>
    <n v="7"/>
    <x v="0"/>
    <x v="0"/>
  </r>
  <r>
    <n v="8513"/>
    <n v="113842011"/>
    <s v="Recovery"/>
    <n v="200"/>
    <s v="AHY"/>
    <s v="M"/>
    <n v="9"/>
    <n v="2013"/>
    <n v="2013"/>
    <n v="9"/>
    <x v="0"/>
    <s v="9B"/>
    <x v="4"/>
    <n v="1"/>
    <n v="7"/>
    <x v="0"/>
    <x v="0"/>
  </r>
  <r>
    <n v="8514"/>
    <n v="113842012"/>
    <s v="Recovery"/>
    <n v="200"/>
    <s v="AHY"/>
    <s v="F"/>
    <n v="1"/>
    <n v="2014"/>
    <n v="2013"/>
    <n v="9"/>
    <x v="0"/>
    <s v="9B"/>
    <x v="4"/>
    <n v="1"/>
    <n v="7"/>
    <x v="0"/>
    <x v="0"/>
  </r>
  <r>
    <n v="8518"/>
    <n v="113842016"/>
    <s v="Recovery"/>
    <n v="200"/>
    <s v="AHY"/>
    <s v="F"/>
    <n v="9"/>
    <n v="2014"/>
    <n v="2014"/>
    <n v="10"/>
    <x v="0"/>
    <s v="10B"/>
    <x v="7"/>
    <n v="1"/>
    <n v="7"/>
    <x v="0"/>
    <x v="0"/>
  </r>
  <r>
    <n v="8525"/>
    <n v="113842023"/>
    <s v="Recovery"/>
    <n v="200"/>
    <s v="AHY"/>
    <s v="M"/>
    <n v="1"/>
    <n v="2014"/>
    <n v="2013"/>
    <n v="9"/>
    <x v="0"/>
    <s v="9B"/>
    <x v="4"/>
    <n v="1"/>
    <n v="7"/>
    <x v="0"/>
    <x v="0"/>
  </r>
  <r>
    <n v="8526"/>
    <n v="113842024"/>
    <s v="Recovery"/>
    <n v="200"/>
    <s v="AHY"/>
    <s v="M"/>
    <n v="1"/>
    <n v="2012"/>
    <n v="2011"/>
    <n v="7"/>
    <x v="0"/>
    <s v="7B"/>
    <x v="9"/>
    <n v="1"/>
    <n v="83"/>
    <x v="18"/>
    <x v="1"/>
  </r>
  <r>
    <n v="8527"/>
    <n v="113842025"/>
    <s v="Recovery"/>
    <n v="200"/>
    <s v="AHY"/>
    <s v="M"/>
    <n v="9"/>
    <n v="2013"/>
    <n v="2013"/>
    <n v="9"/>
    <x v="0"/>
    <s v="9B"/>
    <x v="4"/>
    <n v="1"/>
    <n v="83"/>
    <x v="18"/>
    <x v="1"/>
  </r>
  <r>
    <n v="8532"/>
    <n v="113842030"/>
    <s v="Recovery"/>
    <n v="200"/>
    <s v="AHY"/>
    <s v="M"/>
    <n v="1"/>
    <n v="2013"/>
    <n v="2012"/>
    <n v="8"/>
    <x v="0"/>
    <s v="8B"/>
    <x v="3"/>
    <n v="1"/>
    <n v="7"/>
    <x v="0"/>
    <x v="0"/>
  </r>
  <r>
    <n v="8534"/>
    <n v="113842032"/>
    <s v="Recovery"/>
    <n v="200"/>
    <s v="AHY"/>
    <s v="M"/>
    <n v="1"/>
    <n v="2014"/>
    <n v="2013"/>
    <n v="9"/>
    <x v="0"/>
    <s v="9B"/>
    <x v="4"/>
    <n v="1"/>
    <n v="7"/>
    <x v="0"/>
    <x v="0"/>
  </r>
  <r>
    <n v="8536"/>
    <n v="113842034"/>
    <s v="Recovery"/>
    <n v="200"/>
    <s v="AHY"/>
    <s v="F"/>
    <n v="9"/>
    <n v="2011"/>
    <n v="2011"/>
    <n v="7"/>
    <x v="0"/>
    <s v="7B"/>
    <x v="9"/>
    <n v="1"/>
    <n v="7"/>
    <x v="0"/>
    <x v="0"/>
  </r>
  <r>
    <n v="8538"/>
    <n v="113842036"/>
    <s v="Recovery"/>
    <n v="200"/>
    <s v="AHY"/>
    <s v="M"/>
    <n v="1"/>
    <n v="2014"/>
    <n v="2013"/>
    <n v="9"/>
    <x v="0"/>
    <s v="9B"/>
    <x v="4"/>
    <n v="1"/>
    <n v="7"/>
    <x v="0"/>
    <x v="0"/>
  </r>
  <r>
    <n v="8541"/>
    <n v="113842039"/>
    <s v="Recovery"/>
    <n v="200"/>
    <s v="AHY"/>
    <s v="M"/>
    <n v="9"/>
    <n v="2018"/>
    <n v="2018"/>
    <n v="14"/>
    <x v="0"/>
    <s v="14B"/>
    <x v="10"/>
    <n v="1"/>
    <n v="7"/>
    <x v="0"/>
    <x v="0"/>
  </r>
  <r>
    <n v="8543"/>
    <n v="113842041"/>
    <s v="Recovery"/>
    <n v="200"/>
    <s v="AHY"/>
    <s v="M"/>
    <n v="1"/>
    <n v="2012"/>
    <n v="2011"/>
    <n v="7"/>
    <x v="0"/>
    <s v="7B"/>
    <x v="9"/>
    <n v="1"/>
    <n v="7"/>
    <x v="0"/>
    <x v="0"/>
  </r>
  <r>
    <n v="8559"/>
    <n v="113842057"/>
    <s v="Recovery"/>
    <n v="200"/>
    <s v="AHY"/>
    <s v="M"/>
    <n v="9"/>
    <n v="2012"/>
    <n v="2012"/>
    <n v="8"/>
    <x v="0"/>
    <s v="8B"/>
    <x v="3"/>
    <n v="1"/>
    <n v="7"/>
    <x v="0"/>
    <x v="0"/>
  </r>
  <r>
    <n v="8568"/>
    <n v="113842066"/>
    <s v="Recovery"/>
    <n v="200"/>
    <s v="AHY"/>
    <s v="M"/>
    <n v="9"/>
    <n v="2012"/>
    <n v="2012"/>
    <n v="8"/>
    <x v="0"/>
    <s v="8B"/>
    <x v="3"/>
    <n v="1"/>
    <n v="7"/>
    <x v="0"/>
    <x v="0"/>
  </r>
  <r>
    <n v="8574"/>
    <n v="113842072"/>
    <s v="Recovery"/>
    <n v="200"/>
    <s v="AHY"/>
    <s v="M"/>
    <n v="12"/>
    <n v="2013"/>
    <n v="2013"/>
    <n v="9"/>
    <x v="0"/>
    <s v="9B"/>
    <x v="4"/>
    <n v="1"/>
    <n v="7"/>
    <x v="0"/>
    <x v="0"/>
  </r>
  <r>
    <n v="8576"/>
    <n v="113842074"/>
    <s v="Recovery"/>
    <n v="200"/>
    <s v="AHY"/>
    <s v="F"/>
    <n v="9"/>
    <n v="2012"/>
    <n v="2012"/>
    <n v="8"/>
    <x v="0"/>
    <s v="8B"/>
    <x v="3"/>
    <n v="1"/>
    <n v="7"/>
    <x v="0"/>
    <x v="0"/>
  </r>
  <r>
    <n v="8577"/>
    <n v="113842075"/>
    <s v="Recovery"/>
    <n v="200"/>
    <s v="AHY"/>
    <s v="F"/>
    <n v="9"/>
    <n v="2012"/>
    <n v="2012"/>
    <n v="8"/>
    <x v="0"/>
    <s v="8B"/>
    <x v="3"/>
    <n v="1"/>
    <n v="7"/>
    <x v="0"/>
    <x v="0"/>
  </r>
  <r>
    <n v="8579"/>
    <n v="113842077"/>
    <s v="Recovery"/>
    <n v="200"/>
    <s v="AHY"/>
    <s v="F"/>
    <n v="10"/>
    <n v="2011"/>
    <n v="2011"/>
    <n v="7"/>
    <x v="0"/>
    <s v="7B"/>
    <x v="9"/>
    <n v="1"/>
    <n v="7"/>
    <x v="0"/>
    <x v="0"/>
  </r>
  <r>
    <n v="8583"/>
    <n v="113842081"/>
    <s v="Recovery"/>
    <n v="200"/>
    <s v="AHY"/>
    <s v="M"/>
    <n v="9"/>
    <n v="2011"/>
    <n v="2011"/>
    <n v="7"/>
    <x v="0"/>
    <s v="7B"/>
    <x v="9"/>
    <n v="1"/>
    <n v="7"/>
    <x v="0"/>
    <x v="0"/>
  </r>
  <r>
    <n v="8593"/>
    <n v="113842091"/>
    <s v="Recovery"/>
    <n v="200"/>
    <s v="AHY"/>
    <s v="F"/>
    <n v="1"/>
    <n v="2013"/>
    <n v="2012"/>
    <n v="8"/>
    <x v="0"/>
    <s v="8B"/>
    <x v="3"/>
    <n v="1"/>
    <n v="7"/>
    <x v="0"/>
    <x v="0"/>
  </r>
  <r>
    <n v="8594"/>
    <n v="113842092"/>
    <s v="Recovery"/>
    <n v="200"/>
    <s v="AHY"/>
    <s v="U"/>
    <n v="2"/>
    <n v="2018"/>
    <n v="2017"/>
    <n v="13"/>
    <x v="0"/>
    <s v="13B"/>
    <x v="13"/>
    <n v="1"/>
    <n v="7"/>
    <x v="0"/>
    <x v="0"/>
  </r>
  <r>
    <n v="8614"/>
    <n v="113842712"/>
    <s v="Recovery"/>
    <n v="200"/>
    <s v="AHY"/>
    <s v="M"/>
    <n v="9"/>
    <n v="2012"/>
    <n v="2012"/>
    <n v="8"/>
    <x v="0"/>
    <s v="8B"/>
    <x v="3"/>
    <n v="1"/>
    <n v="7"/>
    <x v="0"/>
    <x v="0"/>
  </r>
  <r>
    <n v="8633"/>
    <n v="113842731"/>
    <s v="Recovery"/>
    <n v="200"/>
    <s v="AHY"/>
    <s v="F"/>
    <n v="12"/>
    <n v="2017"/>
    <n v="2017"/>
    <n v="13"/>
    <x v="0"/>
    <s v="13B"/>
    <x v="13"/>
    <n v="1"/>
    <n v="7"/>
    <x v="0"/>
    <x v="0"/>
  </r>
  <r>
    <n v="8636"/>
    <n v="113842734"/>
    <s v="Recovery"/>
    <n v="200"/>
    <s v="AHY"/>
    <s v="F"/>
    <n v="9"/>
    <n v="2015"/>
    <n v="2015"/>
    <n v="11"/>
    <x v="0"/>
    <s v="11B"/>
    <x v="14"/>
    <n v="1"/>
    <n v="7"/>
    <x v="0"/>
    <x v="0"/>
  </r>
  <r>
    <n v="8648"/>
    <n v="113842746"/>
    <s v="Recovery"/>
    <n v="200"/>
    <s v="AHY"/>
    <s v="F"/>
    <n v="1"/>
    <n v="2018"/>
    <n v="2017"/>
    <n v="13"/>
    <x v="0"/>
    <s v="13B"/>
    <x v="13"/>
    <n v="1"/>
    <n v="7"/>
    <x v="0"/>
    <x v="0"/>
  </r>
  <r>
    <n v="8649"/>
    <n v="113842747"/>
    <s v="Recovery"/>
    <n v="200"/>
    <s v="AHY"/>
    <s v="F"/>
    <n v="1"/>
    <n v="2013"/>
    <n v="2012"/>
    <n v="8"/>
    <x v="0"/>
    <s v="8B"/>
    <x v="3"/>
    <n v="1"/>
    <n v="7"/>
    <x v="0"/>
    <x v="0"/>
  </r>
  <r>
    <n v="8652"/>
    <n v="113842750"/>
    <s v="Recovery"/>
    <n v="200"/>
    <s v="AHY"/>
    <s v="M"/>
    <n v="1"/>
    <n v="2013"/>
    <n v="2012"/>
    <n v="8"/>
    <x v="0"/>
    <s v="8B"/>
    <x v="3"/>
    <n v="1"/>
    <n v="7"/>
    <x v="0"/>
    <x v="0"/>
  </r>
  <r>
    <n v="8655"/>
    <n v="113842753"/>
    <s v="Recovery"/>
    <n v="200"/>
    <s v="AHY"/>
    <s v="F"/>
    <n v="11"/>
    <n v="2013"/>
    <n v="2013"/>
    <n v="9"/>
    <x v="0"/>
    <s v="9B"/>
    <x v="4"/>
    <n v="1"/>
    <n v="7"/>
    <x v="0"/>
    <x v="0"/>
  </r>
  <r>
    <n v="8660"/>
    <n v="113842758"/>
    <s v="Recovery"/>
    <n v="200"/>
    <s v="AHY"/>
    <s v="M"/>
    <n v="9"/>
    <n v="2015"/>
    <n v="2015"/>
    <n v="11"/>
    <x v="0"/>
    <s v="11B"/>
    <x v="14"/>
    <n v="1"/>
    <n v="7"/>
    <x v="0"/>
    <x v="0"/>
  </r>
  <r>
    <n v="8661"/>
    <n v="113842759"/>
    <s v="Recovery"/>
    <n v="200"/>
    <s v="AHY"/>
    <s v="F"/>
    <n v="9"/>
    <n v="2011"/>
    <n v="2011"/>
    <n v="7"/>
    <x v="0"/>
    <s v="7B"/>
    <x v="9"/>
    <n v="1"/>
    <n v="7"/>
    <x v="0"/>
    <x v="0"/>
  </r>
  <r>
    <n v="8664"/>
    <n v="113842762"/>
    <s v="Recovery"/>
    <n v="200"/>
    <s v="AHY"/>
    <s v="F"/>
    <n v="1"/>
    <n v="2015"/>
    <n v="2014"/>
    <n v="10"/>
    <x v="0"/>
    <s v="10B"/>
    <x v="7"/>
    <n v="1"/>
    <n v="7"/>
    <x v="0"/>
    <x v="0"/>
  </r>
  <r>
    <n v="8667"/>
    <n v="113842765"/>
    <s v="Recovery"/>
    <n v="200"/>
    <s v="AHY"/>
    <s v="M"/>
    <n v="9"/>
    <n v="2015"/>
    <n v="2015"/>
    <n v="11"/>
    <x v="0"/>
    <s v="11B"/>
    <x v="14"/>
    <n v="1"/>
    <n v="7"/>
    <x v="0"/>
    <x v="0"/>
  </r>
  <r>
    <n v="8673"/>
    <n v="113842771"/>
    <s v="Recovery"/>
    <n v="200"/>
    <s v="AHY"/>
    <s v="F"/>
    <n v="12"/>
    <n v="2020"/>
    <n v="2020"/>
    <n v="16"/>
    <x v="0"/>
    <s v="16B"/>
    <x v="15"/>
    <n v="1"/>
    <n v="7"/>
    <x v="0"/>
    <x v="0"/>
  </r>
  <r>
    <n v="8678"/>
    <n v="113842776"/>
    <s v="Recovery"/>
    <n v="200"/>
    <s v="AHY"/>
    <s v="F"/>
    <n v="9"/>
    <n v="2012"/>
    <n v="2012"/>
    <n v="8"/>
    <x v="0"/>
    <s v="8B"/>
    <x v="3"/>
    <n v="1"/>
    <n v="7"/>
    <x v="0"/>
    <x v="0"/>
  </r>
  <r>
    <n v="8681"/>
    <n v="113842779"/>
    <s v="Recovery"/>
    <n v="200"/>
    <s v="AHY"/>
    <s v="M"/>
    <n v="1"/>
    <n v="2015"/>
    <n v="2014"/>
    <n v="10"/>
    <x v="0"/>
    <s v="10B"/>
    <x v="7"/>
    <n v="1"/>
    <n v="7"/>
    <x v="0"/>
    <x v="0"/>
  </r>
  <r>
    <n v="8683"/>
    <n v="113842781"/>
    <s v="Recovery"/>
    <n v="200"/>
    <s v="AHY"/>
    <s v="F"/>
    <n v="12"/>
    <n v="2012"/>
    <n v="2012"/>
    <n v="8"/>
    <x v="0"/>
    <s v="8B"/>
    <x v="3"/>
    <n v="1"/>
    <n v="7"/>
    <x v="0"/>
    <x v="0"/>
  </r>
  <r>
    <n v="8686"/>
    <n v="113842784"/>
    <s v="Recovery"/>
    <n v="200"/>
    <s v="AHY"/>
    <s v="F"/>
    <n v="1"/>
    <n v="2014"/>
    <n v="2013"/>
    <n v="9"/>
    <x v="0"/>
    <s v="9B"/>
    <x v="4"/>
    <n v="1"/>
    <n v="7"/>
    <x v="0"/>
    <x v="0"/>
  </r>
  <r>
    <n v="8689"/>
    <n v="113842787"/>
    <s v="Recovery"/>
    <n v="200"/>
    <s v="AHY"/>
    <s v="M"/>
    <n v="9"/>
    <n v="2015"/>
    <n v="2015"/>
    <n v="11"/>
    <x v="0"/>
    <s v="11B"/>
    <x v="14"/>
    <n v="1"/>
    <n v="7"/>
    <x v="0"/>
    <x v="0"/>
  </r>
  <r>
    <n v="8697"/>
    <n v="113842795"/>
    <s v="Recovery"/>
    <n v="200"/>
    <s v="AHY"/>
    <s v="M"/>
    <n v="11"/>
    <n v="2013"/>
    <n v="2013"/>
    <n v="9"/>
    <x v="0"/>
    <s v="9B"/>
    <x v="4"/>
    <n v="1"/>
    <n v="7"/>
    <x v="0"/>
    <x v="0"/>
  </r>
  <r>
    <n v="8699"/>
    <n v="113842797"/>
    <s v="Recovery"/>
    <n v="200"/>
    <s v="AHY"/>
    <s v="M"/>
    <n v="9"/>
    <n v="2012"/>
    <n v="2012"/>
    <n v="8"/>
    <x v="0"/>
    <s v="8B"/>
    <x v="3"/>
    <n v="1"/>
    <n v="7"/>
    <x v="0"/>
    <x v="0"/>
  </r>
  <r>
    <n v="8704"/>
    <n v="113842802"/>
    <s v="Recovery"/>
    <n v="200"/>
    <s v="AHY"/>
    <s v="M"/>
    <n v="11"/>
    <n v="2020"/>
    <n v="2020"/>
    <n v="16"/>
    <x v="0"/>
    <s v="16B"/>
    <x v="15"/>
    <n v="1"/>
    <n v="7"/>
    <x v="0"/>
    <x v="0"/>
  </r>
  <r>
    <n v="8706"/>
    <n v="113842804"/>
    <s v="Recovery"/>
    <n v="200"/>
    <s v="AHY"/>
    <s v="M"/>
    <n v="1"/>
    <n v="2014"/>
    <n v="2013"/>
    <n v="9"/>
    <x v="0"/>
    <s v="9B"/>
    <x v="4"/>
    <n v="1"/>
    <n v="7"/>
    <x v="0"/>
    <x v="0"/>
  </r>
  <r>
    <n v="8716"/>
    <n v="113842814"/>
    <s v="Recovery"/>
    <n v="200"/>
    <s v="AHY"/>
    <s v="M"/>
    <n v="12"/>
    <n v="2016"/>
    <n v="2016"/>
    <n v="12"/>
    <x v="0"/>
    <s v="12B"/>
    <x v="12"/>
    <n v="1"/>
    <n v="7"/>
    <x v="0"/>
    <x v="0"/>
  </r>
  <r>
    <n v="8724"/>
    <n v="113842822"/>
    <s v="Recovery"/>
    <n v="200"/>
    <s v="AHY"/>
    <s v="M"/>
    <n v="1"/>
    <n v="2019"/>
    <n v="2018"/>
    <n v="14"/>
    <x v="0"/>
    <s v="14B"/>
    <x v="10"/>
    <n v="1"/>
    <n v="7"/>
    <x v="0"/>
    <x v="0"/>
  </r>
  <r>
    <n v="8731"/>
    <n v="113842829"/>
    <s v="Recovery"/>
    <n v="200"/>
    <s v="AHY"/>
    <s v="M"/>
    <n v="11"/>
    <n v="2011"/>
    <n v="2011"/>
    <n v="7"/>
    <x v="0"/>
    <s v="7B"/>
    <x v="9"/>
    <n v="1"/>
    <n v="7"/>
    <x v="0"/>
    <x v="0"/>
  </r>
  <r>
    <n v="8734"/>
    <n v="113842832"/>
    <s v="Recovery"/>
    <n v="200"/>
    <s v="AHY"/>
    <s v="F"/>
    <n v="1"/>
    <n v="2012"/>
    <n v="2011"/>
    <n v="7"/>
    <x v="0"/>
    <s v="7B"/>
    <x v="9"/>
    <n v="1"/>
    <n v="7"/>
    <x v="0"/>
    <x v="0"/>
  </r>
  <r>
    <n v="8746"/>
    <n v="113842844"/>
    <s v="Recovery"/>
    <n v="200"/>
    <s v="AHY"/>
    <s v="M"/>
    <n v="1"/>
    <n v="2018"/>
    <n v="2017"/>
    <n v="13"/>
    <x v="0"/>
    <s v="13B"/>
    <x v="13"/>
    <n v="1"/>
    <n v="7"/>
    <x v="0"/>
    <x v="0"/>
  </r>
  <r>
    <n v="8747"/>
    <n v="113842845"/>
    <s v="Recovery"/>
    <n v="200"/>
    <s v="AHY"/>
    <s v="M"/>
    <n v="1"/>
    <n v="2012"/>
    <n v="2011"/>
    <n v="7"/>
    <x v="0"/>
    <s v="7B"/>
    <x v="9"/>
    <n v="1"/>
    <n v="7"/>
    <x v="0"/>
    <x v="0"/>
  </r>
  <r>
    <n v="8748"/>
    <n v="113842846"/>
    <s v="Recovery"/>
    <n v="200"/>
    <s v="AHY"/>
    <s v="M"/>
    <n v="12"/>
    <n v="2011"/>
    <n v="2011"/>
    <n v="7"/>
    <x v="0"/>
    <s v="7B"/>
    <x v="9"/>
    <n v="1"/>
    <n v="7"/>
    <x v="0"/>
    <x v="0"/>
  </r>
  <r>
    <n v="8754"/>
    <n v="113842852"/>
    <s v="Recovery"/>
    <n v="200"/>
    <s v="AHY"/>
    <s v="F"/>
    <n v="12"/>
    <n v="2015"/>
    <n v="2015"/>
    <n v="11"/>
    <x v="0"/>
    <s v="11B"/>
    <x v="14"/>
    <n v="1"/>
    <n v="7"/>
    <x v="0"/>
    <x v="0"/>
  </r>
  <r>
    <n v="8755"/>
    <n v="113842853"/>
    <s v="Recovery"/>
    <n v="200"/>
    <s v="AHY"/>
    <s v="F"/>
    <n v="11"/>
    <n v="2012"/>
    <n v="2012"/>
    <n v="8"/>
    <x v="0"/>
    <s v="8B"/>
    <x v="3"/>
    <n v="1"/>
    <n v="7"/>
    <x v="0"/>
    <x v="0"/>
  </r>
  <r>
    <n v="8761"/>
    <n v="113842859"/>
    <s v="Recovery"/>
    <n v="200"/>
    <s v="AHY"/>
    <s v="F"/>
    <n v="1"/>
    <n v="2012"/>
    <n v="2011"/>
    <n v="7"/>
    <x v="0"/>
    <s v="7B"/>
    <x v="9"/>
    <n v="1"/>
    <n v="7"/>
    <x v="0"/>
    <x v="0"/>
  </r>
  <r>
    <n v="8762"/>
    <n v="113842860"/>
    <s v="Recovery"/>
    <n v="200"/>
    <s v="AHY"/>
    <s v="F"/>
    <n v="11"/>
    <n v="2013"/>
    <n v="2013"/>
    <n v="9"/>
    <x v="0"/>
    <s v="9B"/>
    <x v="4"/>
    <n v="1"/>
    <n v="7"/>
    <x v="0"/>
    <x v="0"/>
  </r>
  <r>
    <n v="8766"/>
    <n v="113842864"/>
    <s v="Recovery"/>
    <n v="200"/>
    <s v="AHY"/>
    <s v="F"/>
    <n v="9"/>
    <n v="2013"/>
    <n v="2013"/>
    <n v="9"/>
    <x v="0"/>
    <s v="9B"/>
    <x v="4"/>
    <n v="1"/>
    <n v="7"/>
    <x v="0"/>
    <x v="0"/>
  </r>
  <r>
    <n v="8769"/>
    <n v="113842867"/>
    <s v="Recovery"/>
    <n v="200"/>
    <s v="AHY"/>
    <s v="F"/>
    <n v="11"/>
    <n v="2011"/>
    <n v="2011"/>
    <n v="7"/>
    <x v="0"/>
    <s v="7B"/>
    <x v="9"/>
    <n v="1"/>
    <n v="7"/>
    <x v="0"/>
    <x v="0"/>
  </r>
  <r>
    <n v="8771"/>
    <n v="113842869"/>
    <s v="Recovery"/>
    <n v="200"/>
    <s v="AHY"/>
    <s v="M"/>
    <n v="1"/>
    <n v="2020"/>
    <n v="2019"/>
    <n v="15"/>
    <x v="0"/>
    <s v="15B"/>
    <x v="11"/>
    <n v="1"/>
    <n v="7"/>
    <x v="0"/>
    <x v="0"/>
  </r>
  <r>
    <n v="8777"/>
    <n v="113842875"/>
    <s v="Recovery"/>
    <n v="200"/>
    <s v="AHY"/>
    <s v="F"/>
    <n v="1"/>
    <n v="2018"/>
    <n v="2017"/>
    <n v="13"/>
    <x v="0"/>
    <s v="13B"/>
    <x v="13"/>
    <n v="1"/>
    <n v="7"/>
    <x v="0"/>
    <x v="0"/>
  </r>
  <r>
    <n v="8779"/>
    <n v="113842877"/>
    <s v="Recovery"/>
    <n v="200"/>
    <s v="AHY"/>
    <s v="F"/>
    <n v="9"/>
    <n v="2011"/>
    <n v="2011"/>
    <n v="7"/>
    <x v="0"/>
    <s v="7B"/>
    <x v="9"/>
    <n v="1"/>
    <n v="7"/>
    <x v="0"/>
    <x v="0"/>
  </r>
  <r>
    <n v="8785"/>
    <n v="113842883"/>
    <s v="Recovery"/>
    <n v="200"/>
    <s v="AHY"/>
    <s v="F"/>
    <n v="1"/>
    <n v="2013"/>
    <n v="2012"/>
    <n v="8"/>
    <x v="0"/>
    <s v="8B"/>
    <x v="3"/>
    <n v="1"/>
    <n v="7"/>
    <x v="0"/>
    <x v="0"/>
  </r>
  <r>
    <n v="8791"/>
    <n v="113842889"/>
    <s v="Recovery"/>
    <n v="200"/>
    <s v="AHY"/>
    <s v="M"/>
    <n v="11"/>
    <n v="2012"/>
    <n v="2012"/>
    <n v="8"/>
    <x v="0"/>
    <s v="8B"/>
    <x v="3"/>
    <n v="1"/>
    <n v="7"/>
    <x v="0"/>
    <x v="0"/>
  </r>
  <r>
    <n v="8792"/>
    <n v="113842890"/>
    <s v="Recovery"/>
    <n v="200"/>
    <s v="AHY"/>
    <s v="M"/>
    <n v="1"/>
    <n v="2012"/>
    <n v="2011"/>
    <n v="7"/>
    <x v="0"/>
    <s v="7B"/>
    <x v="9"/>
    <n v="1"/>
    <n v="7"/>
    <x v="0"/>
    <x v="0"/>
  </r>
  <r>
    <n v="8795"/>
    <n v="113842893"/>
    <s v="Recovery"/>
    <n v="200"/>
    <s v="HY"/>
    <s v="F"/>
    <n v="1"/>
    <n v="2012"/>
    <n v="2011"/>
    <n v="7"/>
    <x v="0"/>
    <s v="7B"/>
    <x v="9"/>
    <n v="1"/>
    <n v="7"/>
    <x v="0"/>
    <x v="0"/>
  </r>
  <r>
    <n v="8798"/>
    <n v="113842896"/>
    <s v="Recovery"/>
    <n v="200"/>
    <s v="AHY"/>
    <s v="F"/>
    <n v="1"/>
    <n v="2013"/>
    <n v="2012"/>
    <n v="8"/>
    <x v="0"/>
    <s v="8B"/>
    <x v="3"/>
    <n v="1"/>
    <n v="7"/>
    <x v="0"/>
    <x v="0"/>
  </r>
  <r>
    <n v="8800"/>
    <n v="113842898"/>
    <s v="Recovery"/>
    <n v="200"/>
    <s v="AHY"/>
    <s v="M"/>
    <n v="11"/>
    <n v="2013"/>
    <n v="2013"/>
    <n v="9"/>
    <x v="0"/>
    <s v="9B"/>
    <x v="4"/>
    <n v="1"/>
    <n v="7"/>
    <x v="0"/>
    <x v="0"/>
  </r>
  <r>
    <n v="8804"/>
    <n v="113842902"/>
    <s v="Recovery"/>
    <n v="200"/>
    <s v="AHY"/>
    <s v="F"/>
    <n v="9"/>
    <n v="2016"/>
    <n v="2016"/>
    <n v="12"/>
    <x v="0"/>
    <s v="12B"/>
    <x v="12"/>
    <n v="1"/>
    <n v="7"/>
    <x v="0"/>
    <x v="0"/>
  </r>
  <r>
    <n v="8807"/>
    <n v="113842905"/>
    <s v="Recovery"/>
    <n v="200"/>
    <s v="AHY"/>
    <s v="M"/>
    <n v="9"/>
    <n v="2012"/>
    <n v="2012"/>
    <n v="8"/>
    <x v="0"/>
    <s v="8B"/>
    <x v="3"/>
    <n v="1"/>
    <n v="7"/>
    <x v="0"/>
    <x v="0"/>
  </r>
  <r>
    <n v="8809"/>
    <n v="113842907"/>
    <s v="Recovery"/>
    <n v="200"/>
    <s v="AHY"/>
    <s v="F"/>
    <n v="9"/>
    <n v="2013"/>
    <n v="2013"/>
    <n v="9"/>
    <x v="0"/>
    <s v="9B"/>
    <x v="4"/>
    <n v="1"/>
    <n v="7"/>
    <x v="0"/>
    <x v="0"/>
  </r>
  <r>
    <n v="8813"/>
    <n v="113842911"/>
    <s v="Recovery"/>
    <n v="200"/>
    <s v="AHY"/>
    <s v="M"/>
    <n v="9"/>
    <n v="2014"/>
    <n v="2014"/>
    <n v="10"/>
    <x v="0"/>
    <s v="10B"/>
    <x v="7"/>
    <n v="1"/>
    <n v="7"/>
    <x v="0"/>
    <x v="0"/>
  </r>
  <r>
    <n v="8814"/>
    <n v="113842912"/>
    <s v="Recovery"/>
    <n v="200"/>
    <s v="AHY"/>
    <s v="M"/>
    <n v="12"/>
    <n v="2011"/>
    <n v="2011"/>
    <n v="7"/>
    <x v="0"/>
    <s v="7B"/>
    <x v="9"/>
    <n v="1"/>
    <n v="7"/>
    <x v="0"/>
    <x v="0"/>
  </r>
  <r>
    <n v="8818"/>
    <n v="113842916"/>
    <s v="Recovery"/>
    <n v="200"/>
    <s v="AHY"/>
    <s v="F"/>
    <n v="9"/>
    <n v="2013"/>
    <n v="2013"/>
    <n v="9"/>
    <x v="0"/>
    <s v="9B"/>
    <x v="4"/>
    <n v="1"/>
    <n v="7"/>
    <x v="0"/>
    <x v="0"/>
  </r>
  <r>
    <n v="8819"/>
    <n v="113842917"/>
    <s v="Recovery"/>
    <n v="200"/>
    <s v="AHY"/>
    <s v="F"/>
    <n v="12"/>
    <n v="2015"/>
    <n v="2015"/>
    <n v="11"/>
    <x v="0"/>
    <s v="11B"/>
    <x v="14"/>
    <n v="1"/>
    <n v="7"/>
    <x v="0"/>
    <x v="0"/>
  </r>
  <r>
    <n v="8824"/>
    <n v="113842922"/>
    <s v="Recovery"/>
    <n v="200"/>
    <s v="AHY"/>
    <s v="M"/>
    <n v="1"/>
    <n v="2012"/>
    <n v="2011"/>
    <n v="7"/>
    <x v="0"/>
    <s v="7B"/>
    <x v="9"/>
    <n v="1"/>
    <n v="7"/>
    <x v="0"/>
    <x v="0"/>
  </r>
  <r>
    <n v="8826"/>
    <n v="113842924"/>
    <s v="Recovery"/>
    <n v="200"/>
    <s v="AHY"/>
    <s v="F"/>
    <n v="12"/>
    <n v="2012"/>
    <n v="2012"/>
    <n v="8"/>
    <x v="0"/>
    <s v="8B"/>
    <x v="3"/>
    <n v="1"/>
    <n v="7"/>
    <x v="0"/>
    <x v="0"/>
  </r>
  <r>
    <n v="8827"/>
    <n v="113842925"/>
    <s v="Recovery"/>
    <n v="200"/>
    <s v="AHY"/>
    <s v="F"/>
    <n v="11"/>
    <n v="2016"/>
    <n v="2016"/>
    <n v="12"/>
    <x v="0"/>
    <s v="12B"/>
    <x v="12"/>
    <n v="1"/>
    <n v="7"/>
    <x v="0"/>
    <x v="0"/>
  </r>
  <r>
    <n v="8830"/>
    <n v="113842928"/>
    <s v="Recovery"/>
    <n v="200"/>
    <s v="AHY"/>
    <s v="M"/>
    <n v="11"/>
    <n v="2012"/>
    <n v="2012"/>
    <n v="8"/>
    <x v="0"/>
    <s v="8B"/>
    <x v="3"/>
    <n v="1"/>
    <n v="7"/>
    <x v="0"/>
    <x v="0"/>
  </r>
  <r>
    <n v="8837"/>
    <n v="113842935"/>
    <s v="Recovery"/>
    <n v="200"/>
    <s v="AHY"/>
    <s v="F"/>
    <n v="9"/>
    <n v="2017"/>
    <n v="2017"/>
    <n v="13"/>
    <x v="0"/>
    <s v="13B"/>
    <x v="13"/>
    <n v="1"/>
    <n v="7"/>
    <x v="0"/>
    <x v="0"/>
  </r>
  <r>
    <n v="8839"/>
    <n v="113842937"/>
    <s v="Recovery"/>
    <n v="200"/>
    <s v="AHY"/>
    <s v="M"/>
    <n v="1"/>
    <n v="2016"/>
    <n v="2015"/>
    <n v="11"/>
    <x v="0"/>
    <s v="11B"/>
    <x v="14"/>
    <n v="1"/>
    <n v="7"/>
    <x v="0"/>
    <x v="0"/>
  </r>
  <r>
    <n v="8840"/>
    <n v="113842938"/>
    <s v="Recovery"/>
    <n v="200"/>
    <s v="AHY"/>
    <s v="M"/>
    <n v="1"/>
    <n v="2012"/>
    <n v="2011"/>
    <n v="7"/>
    <x v="0"/>
    <s v="7B"/>
    <x v="9"/>
    <n v="1"/>
    <n v="7"/>
    <x v="0"/>
    <x v="0"/>
  </r>
  <r>
    <n v="8842"/>
    <n v="113842940"/>
    <s v="Recovery"/>
    <n v="200"/>
    <s v="AHY"/>
    <s v="M"/>
    <n v="1"/>
    <n v="2012"/>
    <n v="2011"/>
    <n v="7"/>
    <x v="0"/>
    <s v="7B"/>
    <x v="9"/>
    <n v="1"/>
    <n v="7"/>
    <x v="0"/>
    <x v="0"/>
  </r>
  <r>
    <n v="8844"/>
    <n v="113842942"/>
    <s v="Recovery"/>
    <n v="200"/>
    <s v="AHY"/>
    <s v="M"/>
    <n v="9"/>
    <n v="2014"/>
    <n v="2014"/>
    <n v="10"/>
    <x v="0"/>
    <s v="10B"/>
    <x v="7"/>
    <n v="1"/>
    <n v="7"/>
    <x v="0"/>
    <x v="0"/>
  </r>
  <r>
    <n v="8846"/>
    <n v="113842944"/>
    <s v="Recovery"/>
    <n v="200"/>
    <s v="AHY"/>
    <s v="M"/>
    <n v="1"/>
    <n v="2012"/>
    <n v="2011"/>
    <n v="7"/>
    <x v="0"/>
    <s v="7B"/>
    <x v="9"/>
    <n v="1"/>
    <n v="7"/>
    <x v="0"/>
    <x v="0"/>
  </r>
  <r>
    <n v="8850"/>
    <n v="113842948"/>
    <s v="Recovery"/>
    <n v="200"/>
    <s v="AHY"/>
    <s v="F"/>
    <n v="12"/>
    <n v="2014"/>
    <n v="2014"/>
    <n v="10"/>
    <x v="0"/>
    <s v="10B"/>
    <x v="7"/>
    <n v="1"/>
    <n v="7"/>
    <x v="0"/>
    <x v="0"/>
  </r>
  <r>
    <n v="8852"/>
    <n v="113842950"/>
    <s v="Recovery"/>
    <n v="200"/>
    <s v="AHY"/>
    <s v="M"/>
    <n v="12"/>
    <n v="2011"/>
    <n v="2011"/>
    <n v="7"/>
    <x v="0"/>
    <s v="7B"/>
    <x v="9"/>
    <n v="1"/>
    <n v="7"/>
    <x v="0"/>
    <x v="0"/>
  </r>
  <r>
    <n v="8857"/>
    <n v="113842955"/>
    <s v="Recovery"/>
    <n v="200"/>
    <s v="AHY"/>
    <s v="F"/>
    <n v="12"/>
    <n v="2015"/>
    <n v="2015"/>
    <n v="11"/>
    <x v="0"/>
    <s v="11B"/>
    <x v="14"/>
    <n v="1"/>
    <n v="7"/>
    <x v="0"/>
    <x v="0"/>
  </r>
  <r>
    <n v="8858"/>
    <n v="113842956"/>
    <s v="Recovery"/>
    <n v="200"/>
    <s v="AHY"/>
    <s v="F"/>
    <n v="1"/>
    <n v="2020"/>
    <n v="2019"/>
    <n v="15"/>
    <x v="0"/>
    <s v="15B"/>
    <x v="11"/>
    <n v="1"/>
    <n v="7"/>
    <x v="0"/>
    <x v="0"/>
  </r>
  <r>
    <n v="8860"/>
    <n v="113842958"/>
    <s v="Recovery"/>
    <n v="200"/>
    <s v="AHY"/>
    <s v="F"/>
    <n v="1"/>
    <n v="2013"/>
    <n v="2012"/>
    <n v="8"/>
    <x v="0"/>
    <s v="8B"/>
    <x v="3"/>
    <n v="1"/>
    <n v="7"/>
    <x v="0"/>
    <x v="0"/>
  </r>
  <r>
    <n v="8861"/>
    <n v="113842959"/>
    <s v="Recovery"/>
    <n v="200"/>
    <s v="AHY"/>
    <s v="F"/>
    <n v="12"/>
    <n v="2017"/>
    <n v="2017"/>
    <n v="13"/>
    <x v="0"/>
    <s v="13B"/>
    <x v="13"/>
    <n v="1"/>
    <n v="7"/>
    <x v="0"/>
    <x v="0"/>
  </r>
  <r>
    <n v="8862"/>
    <n v="113842960"/>
    <s v="Recovery"/>
    <n v="200"/>
    <s v="AHY"/>
    <s v="M"/>
    <n v="11"/>
    <n v="2011"/>
    <n v="2011"/>
    <n v="7"/>
    <x v="0"/>
    <s v="7B"/>
    <x v="9"/>
    <n v="1"/>
    <n v="7"/>
    <x v="0"/>
    <x v="0"/>
  </r>
  <r>
    <n v="8865"/>
    <n v="113842963"/>
    <s v="Recovery"/>
    <n v="200"/>
    <s v="AHY"/>
    <s v="F"/>
    <n v="1"/>
    <n v="2016"/>
    <n v="2015"/>
    <n v="11"/>
    <x v="0"/>
    <s v="11B"/>
    <x v="14"/>
    <n v="1"/>
    <n v="7"/>
    <x v="0"/>
    <x v="0"/>
  </r>
  <r>
    <n v="8869"/>
    <n v="113842967"/>
    <s v="Recovery"/>
    <n v="200"/>
    <s v="AHY"/>
    <s v="F"/>
    <n v="11"/>
    <n v="2011"/>
    <n v="2011"/>
    <n v="7"/>
    <x v="0"/>
    <s v="7B"/>
    <x v="9"/>
    <n v="1"/>
    <n v="7"/>
    <x v="0"/>
    <x v="0"/>
  </r>
  <r>
    <n v="8870"/>
    <n v="113842968"/>
    <s v="Recovery"/>
    <n v="200"/>
    <s v="AHY"/>
    <s v="F"/>
    <n v="11"/>
    <n v="2013"/>
    <n v="2013"/>
    <n v="9"/>
    <x v="0"/>
    <s v="9B"/>
    <x v="4"/>
    <n v="1"/>
    <n v="7"/>
    <x v="0"/>
    <x v="0"/>
  </r>
  <r>
    <n v="8875"/>
    <n v="113842973"/>
    <s v="Recovery"/>
    <n v="200"/>
    <s v="AHY"/>
    <s v="M"/>
    <n v="9"/>
    <n v="2012"/>
    <n v="2012"/>
    <n v="8"/>
    <x v="0"/>
    <s v="8B"/>
    <x v="3"/>
    <n v="1"/>
    <n v="7"/>
    <x v="0"/>
    <x v="0"/>
  </r>
  <r>
    <n v="8877"/>
    <n v="113842975"/>
    <s v="Recovery"/>
    <n v="200"/>
    <s v="AHY"/>
    <s v="M"/>
    <n v="12"/>
    <n v="2012"/>
    <n v="2012"/>
    <n v="8"/>
    <x v="0"/>
    <s v="8B"/>
    <x v="3"/>
    <n v="1"/>
    <n v="7"/>
    <x v="0"/>
    <x v="0"/>
  </r>
  <r>
    <n v="8885"/>
    <n v="113842983"/>
    <s v="Recovery"/>
    <n v="200"/>
    <s v="AHY"/>
    <s v="F"/>
    <n v="11"/>
    <n v="2011"/>
    <n v="2011"/>
    <n v="7"/>
    <x v="0"/>
    <s v="7B"/>
    <x v="9"/>
    <n v="1"/>
    <n v="7"/>
    <x v="0"/>
    <x v="0"/>
  </r>
  <r>
    <n v="8886"/>
    <n v="113842984"/>
    <s v="Recovery"/>
    <n v="200"/>
    <s v="AHY"/>
    <s v="M"/>
    <n v="1"/>
    <n v="2013"/>
    <n v="2012"/>
    <n v="8"/>
    <x v="0"/>
    <s v="8B"/>
    <x v="3"/>
    <n v="1"/>
    <n v="7"/>
    <x v="0"/>
    <x v="0"/>
  </r>
  <r>
    <n v="8888"/>
    <n v="113842986"/>
    <s v="Recovery"/>
    <n v="200"/>
    <s v="AHY"/>
    <s v="F"/>
    <n v="1"/>
    <n v="2013"/>
    <n v="2012"/>
    <n v="8"/>
    <x v="0"/>
    <s v="8B"/>
    <x v="3"/>
    <n v="1"/>
    <n v="7"/>
    <x v="0"/>
    <x v="0"/>
  </r>
  <r>
    <n v="8895"/>
    <n v="113842993"/>
    <s v="Recovery"/>
    <n v="200"/>
    <s v="AHY"/>
    <s v="F"/>
    <n v="12"/>
    <n v="2011"/>
    <n v="2011"/>
    <n v="7"/>
    <x v="0"/>
    <s v="7B"/>
    <x v="9"/>
    <n v="1"/>
    <n v="7"/>
    <x v="0"/>
    <x v="0"/>
  </r>
  <r>
    <n v="8896"/>
    <n v="113842994"/>
    <s v="Recovery"/>
    <n v="200"/>
    <s v="AHY"/>
    <s v="M"/>
    <n v="11"/>
    <n v="2016"/>
    <n v="2016"/>
    <n v="12"/>
    <x v="0"/>
    <s v="12B"/>
    <x v="12"/>
    <n v="1"/>
    <n v="7"/>
    <x v="0"/>
    <x v="0"/>
  </r>
  <r>
    <n v="8900"/>
    <n v="113842998"/>
    <s v="Recovery"/>
    <n v="200"/>
    <s v="AHY"/>
    <s v="M"/>
    <n v="1"/>
    <n v="2018"/>
    <n v="2017"/>
    <n v="13"/>
    <x v="0"/>
    <s v="13B"/>
    <x v="13"/>
    <n v="1"/>
    <n v="7"/>
    <x v="0"/>
    <x v="0"/>
  </r>
  <r>
    <n v="8901"/>
    <n v="113842999"/>
    <s v="Recovery"/>
    <n v="200"/>
    <s v="AHY"/>
    <s v="F"/>
    <n v="12"/>
    <n v="2014"/>
    <n v="2014"/>
    <n v="10"/>
    <x v="0"/>
    <s v="10B"/>
    <x v="7"/>
    <n v="1"/>
    <n v="7"/>
    <x v="0"/>
    <x v="0"/>
  </r>
  <r>
    <n v="8902"/>
    <n v="113843000"/>
    <s v="Recovery"/>
    <n v="200"/>
    <s v="AHY"/>
    <s v="F"/>
    <n v="1"/>
    <n v="2012"/>
    <n v="2011"/>
    <n v="7"/>
    <x v="0"/>
    <s v="7B"/>
    <x v="9"/>
    <n v="1"/>
    <n v="7"/>
    <x v="0"/>
    <x v="0"/>
  </r>
  <r>
    <n v="9005"/>
    <n v="113842272"/>
    <s v="Recovery"/>
    <n v="200"/>
    <s v="AHY"/>
    <s v="F"/>
    <n v="1"/>
    <n v="2021"/>
    <n v="2020"/>
    <n v="16"/>
    <x v="0"/>
    <s v="16B"/>
    <x v="15"/>
    <n v="1"/>
    <n v="7"/>
    <x v="0"/>
    <x v="0"/>
  </r>
  <r>
    <n v="9012"/>
    <n v="113842279"/>
    <s v="Recovery"/>
    <n v="200"/>
    <s v="AHY"/>
    <s v="F"/>
    <n v="11"/>
    <n v="2018"/>
    <n v="2018"/>
    <n v="14"/>
    <x v="0"/>
    <s v="14B"/>
    <x v="10"/>
    <n v="1"/>
    <n v="7"/>
    <x v="0"/>
    <x v="0"/>
  </r>
  <r>
    <n v="9022"/>
    <n v="113842289"/>
    <s v="Recovery"/>
    <n v="200"/>
    <s v="AHY"/>
    <s v="F"/>
    <n v="1"/>
    <n v="2013"/>
    <n v="2012"/>
    <n v="8"/>
    <x v="0"/>
    <s v="8B"/>
    <x v="3"/>
    <n v="1"/>
    <n v="7"/>
    <x v="0"/>
    <x v="0"/>
  </r>
  <r>
    <n v="9024"/>
    <n v="113842291"/>
    <s v="Recovery"/>
    <n v="200"/>
    <s v="AHY"/>
    <s v="F"/>
    <n v="12"/>
    <n v="2016"/>
    <n v="2016"/>
    <n v="12"/>
    <x v="0"/>
    <s v="12B"/>
    <x v="12"/>
    <n v="1"/>
    <n v="7"/>
    <x v="0"/>
    <x v="0"/>
  </r>
  <r>
    <n v="9041"/>
    <n v="114824008"/>
    <s v="Recovery"/>
    <n v="200"/>
    <s v="AHY"/>
    <s v="M"/>
    <n v="1"/>
    <n v="2013"/>
    <n v="2012"/>
    <n v="8"/>
    <x v="0"/>
    <s v="8B"/>
    <x v="3"/>
    <n v="1"/>
    <n v="7"/>
    <x v="0"/>
    <x v="0"/>
  </r>
  <r>
    <n v="9043"/>
    <n v="114824010"/>
    <s v="Recovery"/>
    <n v="200"/>
    <s v="AHY"/>
    <s v="F"/>
    <n v="1"/>
    <n v="2016"/>
    <n v="2015"/>
    <n v="11"/>
    <x v="0"/>
    <s v="11B"/>
    <x v="14"/>
    <n v="1"/>
    <n v="7"/>
    <x v="0"/>
    <x v="0"/>
  </r>
  <r>
    <n v="9044"/>
    <n v="114824011"/>
    <s v="Recovery"/>
    <n v="200"/>
    <s v="AHY"/>
    <s v="M"/>
    <n v="11"/>
    <n v="2013"/>
    <n v="2013"/>
    <n v="9"/>
    <x v="0"/>
    <s v="9B"/>
    <x v="4"/>
    <n v="1"/>
    <n v="7"/>
    <x v="0"/>
    <x v="0"/>
  </r>
  <r>
    <n v="9048"/>
    <n v="114824015"/>
    <s v="Recovery"/>
    <n v="200"/>
    <s v="AHY"/>
    <s v="F"/>
    <n v="11"/>
    <n v="2017"/>
    <n v="2017"/>
    <n v="13"/>
    <x v="0"/>
    <s v="13B"/>
    <x v="13"/>
    <n v="1"/>
    <n v="7"/>
    <x v="0"/>
    <x v="0"/>
  </r>
  <r>
    <n v="9052"/>
    <n v="114824019"/>
    <s v="Recovery"/>
    <n v="200"/>
    <s v="AHY"/>
    <s v="M"/>
    <n v="11"/>
    <n v="2014"/>
    <n v="2014"/>
    <n v="10"/>
    <x v="0"/>
    <s v="10B"/>
    <x v="7"/>
    <n v="1"/>
    <n v="7"/>
    <x v="0"/>
    <x v="0"/>
  </r>
  <r>
    <n v="9062"/>
    <n v="114824029"/>
    <s v="Recovery"/>
    <n v="200"/>
    <s v="AHY"/>
    <s v="F"/>
    <n v="9"/>
    <n v="2014"/>
    <n v="2014"/>
    <n v="10"/>
    <x v="0"/>
    <s v="10B"/>
    <x v="7"/>
    <n v="1"/>
    <n v="7"/>
    <x v="0"/>
    <x v="0"/>
  </r>
  <r>
    <n v="9069"/>
    <n v="114824036"/>
    <s v="Recovery"/>
    <n v="200"/>
    <s v="AHY"/>
    <s v="M"/>
    <n v="1"/>
    <n v="2017"/>
    <n v="2016"/>
    <n v="12"/>
    <x v="0"/>
    <s v="12B"/>
    <x v="12"/>
    <n v="1"/>
    <n v="7"/>
    <x v="0"/>
    <x v="0"/>
  </r>
  <r>
    <n v="9072"/>
    <n v="114824039"/>
    <s v="Recovery"/>
    <n v="200"/>
    <s v="AHY"/>
    <s v="M"/>
    <n v="1"/>
    <n v="2017"/>
    <n v="2016"/>
    <n v="12"/>
    <x v="0"/>
    <s v="12B"/>
    <x v="12"/>
    <n v="1"/>
    <n v="7"/>
    <x v="0"/>
    <x v="0"/>
  </r>
  <r>
    <n v="9074"/>
    <n v="114824041"/>
    <s v="Recovery"/>
    <n v="200"/>
    <s v="AHY"/>
    <s v="F"/>
    <n v="1"/>
    <n v="2017"/>
    <n v="2016"/>
    <n v="12"/>
    <x v="0"/>
    <s v="12B"/>
    <x v="12"/>
    <n v="1"/>
    <n v="7"/>
    <x v="0"/>
    <x v="0"/>
  </r>
  <r>
    <n v="9076"/>
    <n v="114824043"/>
    <s v="Recovery"/>
    <n v="200"/>
    <s v="AHY"/>
    <s v="M"/>
    <n v="12"/>
    <n v="2013"/>
    <n v="2013"/>
    <n v="9"/>
    <x v="0"/>
    <s v="9B"/>
    <x v="4"/>
    <n v="1"/>
    <n v="7"/>
    <x v="0"/>
    <x v="0"/>
  </r>
  <r>
    <n v="9078"/>
    <n v="114824045"/>
    <s v="Recovery"/>
    <n v="200"/>
    <s v="AHY"/>
    <s v="M"/>
    <n v="1"/>
    <n v="2015"/>
    <n v="2014"/>
    <n v="10"/>
    <x v="0"/>
    <s v="10B"/>
    <x v="7"/>
    <n v="1"/>
    <n v="7"/>
    <x v="0"/>
    <x v="0"/>
  </r>
  <r>
    <n v="9095"/>
    <n v="114824062"/>
    <s v="Recovery"/>
    <n v="200"/>
    <s v="AHY"/>
    <s v="F"/>
    <n v="1"/>
    <n v="2013"/>
    <n v="2012"/>
    <n v="8"/>
    <x v="0"/>
    <s v="8B"/>
    <x v="3"/>
    <n v="1"/>
    <n v="7"/>
    <x v="0"/>
    <x v="0"/>
  </r>
  <r>
    <n v="9100"/>
    <n v="114824067"/>
    <s v="Recovery"/>
    <n v="200"/>
    <s v="HY"/>
    <s v="F"/>
    <n v="1"/>
    <n v="2013"/>
    <n v="2012"/>
    <n v="8"/>
    <x v="0"/>
    <s v="8B"/>
    <x v="3"/>
    <n v="1"/>
    <n v="7"/>
    <x v="0"/>
    <x v="0"/>
  </r>
  <r>
    <n v="9102"/>
    <n v="114824069"/>
    <s v="Recovery"/>
    <n v="200"/>
    <s v="AHY"/>
    <s v="M"/>
    <n v="11"/>
    <n v="2014"/>
    <n v="2014"/>
    <n v="10"/>
    <x v="0"/>
    <s v="10B"/>
    <x v="7"/>
    <n v="1"/>
    <n v="7"/>
    <x v="0"/>
    <x v="0"/>
  </r>
  <r>
    <n v="9110"/>
    <n v="114824077"/>
    <s v="Recovery"/>
    <n v="200"/>
    <s v="AHY"/>
    <s v="M"/>
    <n v="1"/>
    <n v="2014"/>
    <n v="2013"/>
    <n v="9"/>
    <x v="0"/>
    <s v="9B"/>
    <x v="4"/>
    <n v="1"/>
    <n v="7"/>
    <x v="0"/>
    <x v="0"/>
  </r>
  <r>
    <n v="9114"/>
    <n v="114824081"/>
    <s v="Recovery"/>
    <n v="200"/>
    <s v="AHY"/>
    <s v="F"/>
    <n v="9"/>
    <n v="2014"/>
    <n v="2014"/>
    <n v="10"/>
    <x v="0"/>
    <s v="10B"/>
    <x v="7"/>
    <n v="1"/>
    <n v="7"/>
    <x v="0"/>
    <x v="0"/>
  </r>
  <r>
    <n v="9116"/>
    <n v="114824083"/>
    <s v="Recovery"/>
    <n v="200"/>
    <s v="AHY"/>
    <s v="M"/>
    <n v="1"/>
    <n v="2014"/>
    <n v="2013"/>
    <n v="9"/>
    <x v="0"/>
    <s v="9B"/>
    <x v="4"/>
    <n v="1"/>
    <n v="7"/>
    <x v="0"/>
    <x v="0"/>
  </r>
  <r>
    <n v="9120"/>
    <n v="114824087"/>
    <s v="Recovery"/>
    <n v="200"/>
    <s v="AHY"/>
    <s v="M"/>
    <n v="12"/>
    <n v="2014"/>
    <n v="2014"/>
    <n v="10"/>
    <x v="0"/>
    <s v="10B"/>
    <x v="7"/>
    <n v="1"/>
    <n v="7"/>
    <x v="0"/>
    <x v="0"/>
  </r>
  <r>
    <n v="9123"/>
    <n v="114824090"/>
    <s v="Recovery"/>
    <n v="200"/>
    <s v="AHY"/>
    <s v="M"/>
    <n v="1"/>
    <n v="2014"/>
    <n v="2013"/>
    <n v="9"/>
    <x v="0"/>
    <s v="9B"/>
    <x v="4"/>
    <n v="1"/>
    <n v="7"/>
    <x v="0"/>
    <x v="0"/>
  </r>
  <r>
    <n v="9126"/>
    <n v="114824093"/>
    <s v="Recovery"/>
    <n v="200"/>
    <s v="AHY"/>
    <s v="F"/>
    <n v="11"/>
    <n v="2018"/>
    <n v="2018"/>
    <n v="14"/>
    <x v="0"/>
    <s v="14B"/>
    <x v="10"/>
    <n v="1"/>
    <n v="7"/>
    <x v="0"/>
    <x v="0"/>
  </r>
  <r>
    <n v="9130"/>
    <n v="114824097"/>
    <s v="Recovery"/>
    <n v="200"/>
    <s v="AHY"/>
    <s v="M"/>
    <n v="1"/>
    <n v="2013"/>
    <n v="2012"/>
    <n v="8"/>
    <x v="0"/>
    <s v="8B"/>
    <x v="3"/>
    <n v="1"/>
    <n v="7"/>
    <x v="0"/>
    <x v="0"/>
  </r>
  <r>
    <n v="9131"/>
    <n v="114824098"/>
    <s v="Recovery"/>
    <n v="200"/>
    <s v="AHY"/>
    <s v="M"/>
    <n v="1"/>
    <n v="2017"/>
    <n v="2016"/>
    <n v="12"/>
    <x v="0"/>
    <s v="12B"/>
    <x v="12"/>
    <n v="1"/>
    <n v="7"/>
    <x v="0"/>
    <x v="0"/>
  </r>
  <r>
    <n v="9132"/>
    <n v="114824099"/>
    <s v="Recovery"/>
    <n v="200"/>
    <s v="AHY"/>
    <s v="M"/>
    <n v="1"/>
    <n v="2020"/>
    <n v="2019"/>
    <n v="15"/>
    <x v="0"/>
    <s v="15B"/>
    <x v="11"/>
    <n v="1"/>
    <n v="7"/>
    <x v="0"/>
    <x v="0"/>
  </r>
  <r>
    <n v="9133"/>
    <n v="114824100"/>
    <s v="Recovery"/>
    <n v="200"/>
    <s v="AHY"/>
    <s v="F"/>
    <n v="1"/>
    <n v="2013"/>
    <n v="2012"/>
    <n v="8"/>
    <x v="0"/>
    <s v="8B"/>
    <x v="3"/>
    <n v="1"/>
    <n v="7"/>
    <x v="0"/>
    <x v="0"/>
  </r>
  <r>
    <n v="9134"/>
    <n v="114824101"/>
    <s v="Recovery"/>
    <n v="200"/>
    <s v="AHY"/>
    <s v="M"/>
    <n v="1"/>
    <n v="2014"/>
    <n v="2013"/>
    <n v="9"/>
    <x v="0"/>
    <s v="9B"/>
    <x v="4"/>
    <n v="1"/>
    <n v="7"/>
    <x v="0"/>
    <x v="0"/>
  </r>
  <r>
    <n v="9135"/>
    <n v="114824102"/>
    <s v="Recovery"/>
    <n v="200"/>
    <s v="AHY"/>
    <s v="M"/>
    <n v="1"/>
    <n v="2013"/>
    <n v="2012"/>
    <n v="8"/>
    <x v="0"/>
    <s v="8B"/>
    <x v="3"/>
    <n v="1"/>
    <n v="7"/>
    <x v="0"/>
    <x v="0"/>
  </r>
  <r>
    <n v="9137"/>
    <n v="114824104"/>
    <s v="Recovery"/>
    <n v="200"/>
    <s v="AHY"/>
    <s v="F"/>
    <n v="1"/>
    <n v="2021"/>
    <n v="2020"/>
    <n v="16"/>
    <x v="0"/>
    <s v="16B"/>
    <x v="15"/>
    <n v="1"/>
    <n v="7"/>
    <x v="0"/>
    <x v="0"/>
  </r>
  <r>
    <n v="9142"/>
    <n v="114824109"/>
    <s v="Recovery"/>
    <n v="200"/>
    <s v="AHY"/>
    <s v="M"/>
    <n v="1"/>
    <n v="2016"/>
    <n v="2015"/>
    <n v="11"/>
    <x v="0"/>
    <s v="11B"/>
    <x v="14"/>
    <n v="1"/>
    <n v="7"/>
    <x v="0"/>
    <x v="0"/>
  </r>
  <r>
    <n v="9144"/>
    <n v="114824111"/>
    <s v="Recovery"/>
    <n v="200"/>
    <s v="AHY"/>
    <s v="F"/>
    <n v="1"/>
    <n v="2021"/>
    <n v="2020"/>
    <n v="16"/>
    <x v="0"/>
    <s v="16B"/>
    <x v="15"/>
    <n v="1"/>
    <n v="7"/>
    <x v="0"/>
    <x v="0"/>
  </r>
  <r>
    <n v="9145"/>
    <n v="114824112"/>
    <s v="Recovery"/>
    <n v="200"/>
    <s v="AHY"/>
    <s v="F"/>
    <n v="11"/>
    <n v="2015"/>
    <n v="2015"/>
    <n v="11"/>
    <x v="0"/>
    <s v="11B"/>
    <x v="14"/>
    <n v="1"/>
    <n v="7"/>
    <x v="0"/>
    <x v="0"/>
  </r>
  <r>
    <n v="9147"/>
    <n v="114824114"/>
    <s v="Recovery"/>
    <n v="200"/>
    <s v="AHY"/>
    <s v="M"/>
    <n v="1"/>
    <n v="2020"/>
    <n v="2019"/>
    <n v="15"/>
    <x v="0"/>
    <s v="15B"/>
    <x v="11"/>
    <n v="1"/>
    <n v="7"/>
    <x v="0"/>
    <x v="0"/>
  </r>
  <r>
    <n v="9149"/>
    <n v="114824116"/>
    <s v="Recovery"/>
    <n v="200"/>
    <s v="AHY"/>
    <s v="M"/>
    <n v="1"/>
    <n v="2018"/>
    <n v="2017"/>
    <n v="13"/>
    <x v="0"/>
    <s v="13B"/>
    <x v="13"/>
    <n v="1"/>
    <n v="7"/>
    <x v="0"/>
    <x v="0"/>
  </r>
  <r>
    <n v="9150"/>
    <n v="114824117"/>
    <s v="Recovery"/>
    <n v="200"/>
    <s v="AHY"/>
    <s v="M"/>
    <n v="11"/>
    <n v="2013"/>
    <n v="2013"/>
    <n v="9"/>
    <x v="0"/>
    <s v="9B"/>
    <x v="4"/>
    <n v="1"/>
    <n v="7"/>
    <x v="0"/>
    <x v="0"/>
  </r>
  <r>
    <n v="9151"/>
    <n v="114824118"/>
    <s v="Recovery"/>
    <n v="200"/>
    <s v="AHY"/>
    <s v="F"/>
    <n v="1"/>
    <n v="2016"/>
    <n v="2015"/>
    <n v="11"/>
    <x v="0"/>
    <s v="11B"/>
    <x v="14"/>
    <n v="1"/>
    <n v="7"/>
    <x v="0"/>
    <x v="0"/>
  </r>
  <r>
    <n v="9154"/>
    <n v="114824121"/>
    <s v="Recovery"/>
    <n v="200"/>
    <s v="AHY"/>
    <s v="M"/>
    <n v="11"/>
    <n v="2019"/>
    <n v="2019"/>
    <n v="15"/>
    <x v="0"/>
    <s v="15B"/>
    <x v="11"/>
    <n v="1"/>
    <n v="7"/>
    <x v="0"/>
    <x v="0"/>
  </r>
  <r>
    <n v="9155"/>
    <n v="114824122"/>
    <s v="Recovery"/>
    <n v="200"/>
    <s v="AHY"/>
    <s v="F"/>
    <n v="1"/>
    <n v="2016"/>
    <n v="2015"/>
    <n v="11"/>
    <x v="0"/>
    <s v="11B"/>
    <x v="14"/>
    <n v="1"/>
    <n v="7"/>
    <x v="0"/>
    <x v="0"/>
  </r>
  <r>
    <n v="9156"/>
    <n v="114824123"/>
    <s v="Recovery"/>
    <n v="200"/>
    <s v="AHY"/>
    <s v="M"/>
    <n v="1"/>
    <n v="2013"/>
    <n v="2012"/>
    <n v="8"/>
    <x v="0"/>
    <s v="8B"/>
    <x v="3"/>
    <n v="1"/>
    <n v="7"/>
    <x v="0"/>
    <x v="0"/>
  </r>
  <r>
    <n v="9158"/>
    <n v="114824125"/>
    <s v="Recovery"/>
    <n v="200"/>
    <s v="AHY"/>
    <s v="M"/>
    <n v="1"/>
    <n v="2013"/>
    <n v="2012"/>
    <n v="8"/>
    <x v="0"/>
    <s v="8B"/>
    <x v="3"/>
    <n v="1"/>
    <n v="7"/>
    <x v="0"/>
    <x v="0"/>
  </r>
  <r>
    <n v="9162"/>
    <n v="114824129"/>
    <s v="Recovery"/>
    <n v="200"/>
    <s v="AHY"/>
    <s v="F"/>
    <n v="11"/>
    <n v="2012"/>
    <n v="2012"/>
    <n v="8"/>
    <x v="0"/>
    <s v="8B"/>
    <x v="3"/>
    <n v="1"/>
    <n v="7"/>
    <x v="0"/>
    <x v="0"/>
  </r>
  <r>
    <n v="9163"/>
    <n v="114824130"/>
    <s v="Recovery"/>
    <n v="200"/>
    <s v="AHY"/>
    <s v="F"/>
    <n v="1"/>
    <n v="2018"/>
    <n v="2017"/>
    <n v="13"/>
    <x v="0"/>
    <s v="13B"/>
    <x v="13"/>
    <n v="1"/>
    <n v="7"/>
    <x v="0"/>
    <x v="0"/>
  </r>
  <r>
    <n v="9167"/>
    <n v="114824134"/>
    <s v="Recovery"/>
    <n v="200"/>
    <s v="AHY"/>
    <s v="F"/>
    <n v="1"/>
    <n v="2013"/>
    <n v="2012"/>
    <n v="8"/>
    <x v="0"/>
    <s v="8B"/>
    <x v="3"/>
    <n v="1"/>
    <n v="7"/>
    <x v="0"/>
    <x v="0"/>
  </r>
  <r>
    <n v="9168"/>
    <n v="114824135"/>
    <s v="Recovery"/>
    <n v="200"/>
    <s v="AHY"/>
    <s v="F"/>
    <n v="1"/>
    <n v="2021"/>
    <n v="2020"/>
    <n v="16"/>
    <x v="0"/>
    <s v="16B"/>
    <x v="15"/>
    <n v="1"/>
    <n v="7"/>
    <x v="0"/>
    <x v="0"/>
  </r>
  <r>
    <n v="9169"/>
    <n v="114824136"/>
    <s v="Recovery"/>
    <n v="200"/>
    <s v="AHY"/>
    <s v="F"/>
    <n v="1"/>
    <n v="2013"/>
    <n v="2012"/>
    <n v="8"/>
    <x v="0"/>
    <s v="8B"/>
    <x v="3"/>
    <n v="1"/>
    <n v="7"/>
    <x v="0"/>
    <x v="0"/>
  </r>
  <r>
    <n v="9172"/>
    <n v="114824139"/>
    <s v="Recovery"/>
    <n v="200"/>
    <s v="AHY"/>
    <s v="F"/>
    <n v="9"/>
    <n v="2017"/>
    <n v="2017"/>
    <n v="13"/>
    <x v="0"/>
    <s v="13B"/>
    <x v="13"/>
    <n v="1"/>
    <n v="7"/>
    <x v="0"/>
    <x v="0"/>
  </r>
  <r>
    <n v="9173"/>
    <n v="114824140"/>
    <s v="Recovery"/>
    <n v="200"/>
    <s v="AHY"/>
    <s v="F"/>
    <n v="1"/>
    <n v="2019"/>
    <n v="2018"/>
    <n v="14"/>
    <x v="0"/>
    <s v="14B"/>
    <x v="10"/>
    <n v="1"/>
    <n v="7"/>
    <x v="0"/>
    <x v="0"/>
  </r>
  <r>
    <n v="9174"/>
    <n v="114824141"/>
    <s v="Recovery"/>
    <n v="200"/>
    <s v="AHY"/>
    <s v="F"/>
    <n v="1"/>
    <n v="2013"/>
    <n v="2012"/>
    <n v="8"/>
    <x v="0"/>
    <s v="8B"/>
    <x v="3"/>
    <n v="1"/>
    <n v="7"/>
    <x v="0"/>
    <x v="0"/>
  </r>
  <r>
    <n v="9179"/>
    <n v="114824146"/>
    <s v="Recovery"/>
    <n v="200"/>
    <s v="AHY"/>
    <s v="M"/>
    <n v="9"/>
    <n v="2017"/>
    <n v="2017"/>
    <n v="13"/>
    <x v="0"/>
    <s v="13B"/>
    <x v="13"/>
    <n v="1"/>
    <n v="7"/>
    <x v="0"/>
    <x v="0"/>
  </r>
  <r>
    <n v="9181"/>
    <n v="114824148"/>
    <s v="Recovery"/>
    <n v="200"/>
    <s v="AHY"/>
    <s v="M"/>
    <n v="11"/>
    <n v="2012"/>
    <n v="2012"/>
    <n v="8"/>
    <x v="0"/>
    <s v="8B"/>
    <x v="3"/>
    <n v="1"/>
    <n v="7"/>
    <x v="0"/>
    <x v="0"/>
  </r>
  <r>
    <n v="9182"/>
    <n v="114824149"/>
    <s v="Recovery"/>
    <n v="200"/>
    <s v="AHY"/>
    <s v="M"/>
    <n v="12"/>
    <n v="2018"/>
    <n v="2018"/>
    <n v="14"/>
    <x v="0"/>
    <s v="14B"/>
    <x v="10"/>
    <n v="1"/>
    <n v="7"/>
    <x v="0"/>
    <x v="0"/>
  </r>
  <r>
    <n v="9188"/>
    <n v="114824155"/>
    <s v="Recovery"/>
    <n v="200"/>
    <s v="AHY"/>
    <s v="F"/>
    <n v="1"/>
    <n v="2021"/>
    <n v="2020"/>
    <n v="16"/>
    <x v="0"/>
    <s v="16B"/>
    <x v="15"/>
    <n v="1"/>
    <n v="7"/>
    <x v="0"/>
    <x v="0"/>
  </r>
  <r>
    <n v="9189"/>
    <n v="114824156"/>
    <s v="Recovery"/>
    <n v="200"/>
    <s v="AHY"/>
    <s v="M"/>
    <n v="9"/>
    <n v="2013"/>
    <n v="2013"/>
    <n v="9"/>
    <x v="0"/>
    <s v="9B"/>
    <x v="4"/>
    <n v="1"/>
    <n v="7"/>
    <x v="0"/>
    <x v="0"/>
  </r>
  <r>
    <n v="9199"/>
    <n v="114824166"/>
    <s v="Recovery"/>
    <n v="200"/>
    <s v="AHY"/>
    <s v="M"/>
    <n v="11"/>
    <n v="2014"/>
    <n v="2014"/>
    <n v="10"/>
    <x v="0"/>
    <s v="10B"/>
    <x v="7"/>
    <n v="1"/>
    <n v="7"/>
    <x v="0"/>
    <x v="0"/>
  </r>
  <r>
    <n v="9202"/>
    <n v="114824169"/>
    <s v="Recovery"/>
    <n v="200"/>
    <s v="AHY"/>
    <s v="F"/>
    <n v="11"/>
    <n v="2012"/>
    <n v="2012"/>
    <n v="8"/>
    <x v="0"/>
    <s v="8B"/>
    <x v="3"/>
    <n v="1"/>
    <n v="7"/>
    <x v="0"/>
    <x v="0"/>
  </r>
  <r>
    <n v="9203"/>
    <n v="114824170"/>
    <s v="Recovery"/>
    <n v="200"/>
    <s v="AHY"/>
    <s v="F"/>
    <n v="9"/>
    <n v="2018"/>
    <n v="2018"/>
    <n v="14"/>
    <x v="0"/>
    <s v="14B"/>
    <x v="10"/>
    <n v="1"/>
    <n v="7"/>
    <x v="0"/>
    <x v="0"/>
  </r>
  <r>
    <n v="9206"/>
    <n v="114824173"/>
    <s v="Recovery"/>
    <n v="200"/>
    <s v="AHY"/>
    <s v="M"/>
    <n v="11"/>
    <n v="2014"/>
    <n v="2014"/>
    <n v="10"/>
    <x v="0"/>
    <s v="10B"/>
    <x v="7"/>
    <n v="1"/>
    <n v="7"/>
    <x v="0"/>
    <x v="0"/>
  </r>
  <r>
    <n v="9207"/>
    <n v="114824174"/>
    <s v="Recovery"/>
    <n v="200"/>
    <s v="AHY"/>
    <s v="F"/>
    <n v="1"/>
    <n v="2015"/>
    <n v="2014"/>
    <n v="10"/>
    <x v="0"/>
    <s v="10B"/>
    <x v="7"/>
    <n v="1"/>
    <n v="52"/>
    <x v="11"/>
    <x v="1"/>
  </r>
  <r>
    <n v="9208"/>
    <n v="114824175"/>
    <s v="Recovery"/>
    <n v="200"/>
    <s v="AHY"/>
    <s v="M"/>
    <n v="11"/>
    <n v="2012"/>
    <n v="2012"/>
    <n v="8"/>
    <x v="0"/>
    <s v="8B"/>
    <x v="3"/>
    <n v="1"/>
    <n v="7"/>
    <x v="0"/>
    <x v="0"/>
  </r>
  <r>
    <n v="9210"/>
    <n v="114824177"/>
    <s v="Recovery"/>
    <n v="200"/>
    <s v="AHY"/>
    <s v="F"/>
    <n v="9"/>
    <n v="2014"/>
    <n v="2014"/>
    <n v="10"/>
    <x v="0"/>
    <s v="10B"/>
    <x v="7"/>
    <n v="1"/>
    <n v="7"/>
    <x v="0"/>
    <x v="0"/>
  </r>
  <r>
    <n v="9211"/>
    <n v="114824178"/>
    <s v="Recovery"/>
    <n v="200"/>
    <s v="AHY"/>
    <s v="F"/>
    <n v="1"/>
    <n v="2017"/>
    <n v="2016"/>
    <n v="12"/>
    <x v="0"/>
    <s v="12B"/>
    <x v="12"/>
    <n v="1"/>
    <n v="7"/>
    <x v="0"/>
    <x v="0"/>
  </r>
  <r>
    <n v="9212"/>
    <n v="114824179"/>
    <s v="Recovery"/>
    <n v="200"/>
    <s v="AHY"/>
    <s v="F"/>
    <n v="11"/>
    <n v="2013"/>
    <n v="2013"/>
    <n v="9"/>
    <x v="0"/>
    <s v="9B"/>
    <x v="4"/>
    <n v="1"/>
    <n v="7"/>
    <x v="0"/>
    <x v="0"/>
  </r>
  <r>
    <n v="9214"/>
    <n v="114824181"/>
    <s v="Recovery"/>
    <n v="200"/>
    <s v="AHY"/>
    <s v="F"/>
    <n v="11"/>
    <n v="2012"/>
    <n v="2012"/>
    <n v="8"/>
    <x v="0"/>
    <s v="8B"/>
    <x v="3"/>
    <n v="1"/>
    <n v="7"/>
    <x v="0"/>
    <x v="0"/>
  </r>
  <r>
    <n v="9215"/>
    <n v="114824182"/>
    <s v="Recovery"/>
    <n v="200"/>
    <s v="AHY"/>
    <s v="F"/>
    <n v="9"/>
    <n v="2014"/>
    <n v="2014"/>
    <n v="10"/>
    <x v="0"/>
    <s v="10B"/>
    <x v="7"/>
    <n v="1"/>
    <n v="7"/>
    <x v="0"/>
    <x v="0"/>
  </r>
  <r>
    <n v="9216"/>
    <n v="114824183"/>
    <s v="Recovery"/>
    <n v="200"/>
    <s v="AHY"/>
    <s v="M"/>
    <n v="1"/>
    <n v="2021"/>
    <n v="2020"/>
    <n v="16"/>
    <x v="0"/>
    <s v="16B"/>
    <x v="15"/>
    <n v="1"/>
    <n v="7"/>
    <x v="0"/>
    <x v="0"/>
  </r>
  <r>
    <n v="9218"/>
    <n v="114824185"/>
    <s v="Recovery"/>
    <n v="200"/>
    <s v="AHY"/>
    <s v="F"/>
    <n v="1"/>
    <n v="2015"/>
    <n v="2014"/>
    <n v="10"/>
    <x v="0"/>
    <s v="10B"/>
    <x v="7"/>
    <n v="1"/>
    <n v="7"/>
    <x v="0"/>
    <x v="0"/>
  </r>
  <r>
    <n v="9221"/>
    <n v="114824188"/>
    <s v="Recovery"/>
    <n v="200"/>
    <s v="AHY"/>
    <s v="F"/>
    <n v="1"/>
    <n v="2015"/>
    <n v="2014"/>
    <n v="10"/>
    <x v="0"/>
    <s v="10B"/>
    <x v="7"/>
    <n v="1"/>
    <n v="7"/>
    <x v="0"/>
    <x v="0"/>
  </r>
  <r>
    <n v="9223"/>
    <n v="114824190"/>
    <s v="Recovery"/>
    <n v="200"/>
    <s v="AHY"/>
    <s v="F"/>
    <n v="1"/>
    <n v="2016"/>
    <n v="2015"/>
    <n v="11"/>
    <x v="0"/>
    <s v="11B"/>
    <x v="14"/>
    <n v="1"/>
    <n v="7"/>
    <x v="0"/>
    <x v="0"/>
  </r>
  <r>
    <n v="9224"/>
    <n v="114824191"/>
    <s v="Recovery"/>
    <n v="200"/>
    <s v="AHY"/>
    <s v="F"/>
    <n v="1"/>
    <n v="2015"/>
    <n v="2014"/>
    <n v="10"/>
    <x v="0"/>
    <s v="10B"/>
    <x v="7"/>
    <n v="1"/>
    <n v="7"/>
    <x v="0"/>
    <x v="0"/>
  </r>
  <r>
    <n v="9225"/>
    <n v="114824192"/>
    <s v="Recovery"/>
    <n v="200"/>
    <s v="AHY"/>
    <s v="F"/>
    <n v="1"/>
    <n v="2020"/>
    <n v="2019"/>
    <n v="15"/>
    <x v="0"/>
    <s v="15B"/>
    <x v="11"/>
    <n v="1"/>
    <n v="7"/>
    <x v="0"/>
    <x v="0"/>
  </r>
  <r>
    <n v="9230"/>
    <n v="114824197"/>
    <s v="Recovery"/>
    <n v="200"/>
    <s v="AHY"/>
    <s v="M"/>
    <n v="1"/>
    <n v="2015"/>
    <n v="2014"/>
    <n v="10"/>
    <x v="0"/>
    <s v="10B"/>
    <x v="7"/>
    <n v="1"/>
    <n v="7"/>
    <x v="0"/>
    <x v="0"/>
  </r>
  <r>
    <n v="9233"/>
    <n v="114824200"/>
    <s v="Recovery"/>
    <n v="200"/>
    <s v="AHY"/>
    <s v="F"/>
    <n v="12"/>
    <n v="2015"/>
    <n v="2015"/>
    <n v="11"/>
    <x v="0"/>
    <s v="11B"/>
    <x v="14"/>
    <n v="1"/>
    <n v="7"/>
    <x v="0"/>
    <x v="0"/>
  </r>
  <r>
    <n v="9234"/>
    <n v="114824201"/>
    <s v="Recovery"/>
    <n v="200"/>
    <s v="AHY"/>
    <s v="M"/>
    <n v="12"/>
    <n v="2014"/>
    <n v="2014"/>
    <n v="10"/>
    <x v="0"/>
    <s v="10B"/>
    <x v="7"/>
    <n v="1"/>
    <n v="7"/>
    <x v="0"/>
    <x v="0"/>
  </r>
  <r>
    <n v="9237"/>
    <n v="114824204"/>
    <s v="Recovery"/>
    <n v="200"/>
    <s v="AHY"/>
    <s v="M"/>
    <n v="9"/>
    <n v="2014"/>
    <n v="2014"/>
    <n v="10"/>
    <x v="0"/>
    <s v="10B"/>
    <x v="7"/>
    <n v="1"/>
    <n v="7"/>
    <x v="0"/>
    <x v="0"/>
  </r>
  <r>
    <n v="9246"/>
    <n v="114824213"/>
    <s v="Recovery"/>
    <n v="200"/>
    <s v="AHY"/>
    <s v="F"/>
    <n v="12"/>
    <n v="2019"/>
    <n v="2019"/>
    <n v="15"/>
    <x v="0"/>
    <s v="15B"/>
    <x v="11"/>
    <n v="1"/>
    <n v="7"/>
    <x v="0"/>
    <x v="0"/>
  </r>
  <r>
    <n v="9248"/>
    <n v="114824215"/>
    <s v="Recovery"/>
    <n v="200"/>
    <s v="AHY"/>
    <s v="M"/>
    <n v="1"/>
    <n v="2020"/>
    <n v="2019"/>
    <n v="15"/>
    <x v="0"/>
    <s v="15B"/>
    <x v="11"/>
    <n v="1"/>
    <n v="7"/>
    <x v="0"/>
    <x v="0"/>
  </r>
  <r>
    <n v="9261"/>
    <n v="114824228"/>
    <s v="Recovery"/>
    <n v="200"/>
    <s v="AHY"/>
    <s v="F"/>
    <n v="9"/>
    <n v="2012"/>
    <n v="2012"/>
    <n v="8"/>
    <x v="0"/>
    <s v="8B"/>
    <x v="3"/>
    <n v="1"/>
    <n v="7"/>
    <x v="0"/>
    <x v="0"/>
  </r>
  <r>
    <n v="9264"/>
    <n v="114824231"/>
    <s v="Recovery"/>
    <n v="200"/>
    <s v="AHY"/>
    <s v="M"/>
    <n v="9"/>
    <n v="2014"/>
    <n v="2014"/>
    <n v="10"/>
    <x v="0"/>
    <s v="10B"/>
    <x v="7"/>
    <n v="1"/>
    <n v="7"/>
    <x v="0"/>
    <x v="0"/>
  </r>
  <r>
    <n v="9268"/>
    <n v="114824235"/>
    <s v="Recovery"/>
    <n v="200"/>
    <s v="AHY"/>
    <s v="M"/>
    <n v="12"/>
    <n v="2015"/>
    <n v="2015"/>
    <n v="11"/>
    <x v="0"/>
    <s v="11B"/>
    <x v="14"/>
    <n v="1"/>
    <n v="7"/>
    <x v="0"/>
    <x v="0"/>
  </r>
  <r>
    <n v="9270"/>
    <n v="114824237"/>
    <s v="Recovery"/>
    <n v="200"/>
    <s v="AHY"/>
    <s v="F"/>
    <n v="1"/>
    <n v="2017"/>
    <n v="2016"/>
    <n v="12"/>
    <x v="0"/>
    <s v="12B"/>
    <x v="12"/>
    <n v="1"/>
    <n v="7"/>
    <x v="0"/>
    <x v="0"/>
  </r>
  <r>
    <n v="9274"/>
    <n v="114824241"/>
    <s v="Recovery"/>
    <n v="200"/>
    <s v="AHY"/>
    <s v="M"/>
    <n v="1"/>
    <n v="2018"/>
    <n v="2017"/>
    <n v="13"/>
    <x v="0"/>
    <s v="13B"/>
    <x v="13"/>
    <n v="1"/>
    <n v="7"/>
    <x v="0"/>
    <x v="0"/>
  </r>
  <r>
    <n v="9275"/>
    <n v="114824242"/>
    <s v="Recovery"/>
    <n v="200"/>
    <s v="AHY"/>
    <s v="M"/>
    <n v="9"/>
    <n v="2015"/>
    <n v="2015"/>
    <n v="11"/>
    <x v="0"/>
    <s v="11B"/>
    <x v="14"/>
    <n v="1"/>
    <n v="7"/>
    <x v="0"/>
    <x v="0"/>
  </r>
  <r>
    <n v="9278"/>
    <n v="114824245"/>
    <s v="Recovery"/>
    <n v="200"/>
    <s v="AHY"/>
    <s v="F"/>
    <n v="1"/>
    <n v="2017"/>
    <n v="2016"/>
    <n v="12"/>
    <x v="0"/>
    <s v="12B"/>
    <x v="12"/>
    <n v="1"/>
    <n v="7"/>
    <x v="0"/>
    <x v="0"/>
  </r>
  <r>
    <n v="9280"/>
    <n v="114824247"/>
    <s v="Recovery"/>
    <n v="200"/>
    <s v="AHY"/>
    <s v="F"/>
    <n v="12"/>
    <n v="2015"/>
    <n v="2015"/>
    <n v="11"/>
    <x v="0"/>
    <s v="11B"/>
    <x v="14"/>
    <n v="1"/>
    <n v="7"/>
    <x v="0"/>
    <x v="0"/>
  </r>
  <r>
    <n v="9289"/>
    <n v="114824256"/>
    <s v="Recovery"/>
    <n v="200"/>
    <s v="AHY"/>
    <s v="M"/>
    <n v="2"/>
    <n v="2014"/>
    <n v="2013"/>
    <n v="9"/>
    <x v="0"/>
    <s v="9B"/>
    <x v="4"/>
    <n v="1"/>
    <n v="7"/>
    <x v="0"/>
    <x v="0"/>
  </r>
  <r>
    <n v="9291"/>
    <n v="114824258"/>
    <s v="Recovery"/>
    <n v="200"/>
    <s v="AHY"/>
    <s v="M"/>
    <n v="1"/>
    <n v="2013"/>
    <n v="2012"/>
    <n v="8"/>
    <x v="0"/>
    <s v="8B"/>
    <x v="3"/>
    <n v="1"/>
    <n v="7"/>
    <x v="0"/>
    <x v="0"/>
  </r>
  <r>
    <n v="9296"/>
    <n v="114824263"/>
    <s v="Recovery"/>
    <n v="200"/>
    <s v="AHY"/>
    <s v="F"/>
    <n v="9"/>
    <n v="2012"/>
    <n v="2012"/>
    <n v="8"/>
    <x v="0"/>
    <s v="8B"/>
    <x v="3"/>
    <n v="1"/>
    <n v="7"/>
    <x v="0"/>
    <x v="0"/>
  </r>
  <r>
    <n v="9302"/>
    <n v="114824269"/>
    <s v="Recovery"/>
    <n v="200"/>
    <s v="AHY"/>
    <s v="M"/>
    <n v="11"/>
    <n v="2013"/>
    <n v="2013"/>
    <n v="9"/>
    <x v="0"/>
    <s v="9B"/>
    <x v="4"/>
    <n v="1"/>
    <n v="7"/>
    <x v="0"/>
    <x v="0"/>
  </r>
  <r>
    <n v="9311"/>
    <n v="114824278"/>
    <s v="Recovery"/>
    <n v="200"/>
    <s v="HY"/>
    <s v="F"/>
    <n v="1"/>
    <n v="2013"/>
    <n v="2012"/>
    <n v="8"/>
    <x v="0"/>
    <s v="8B"/>
    <x v="3"/>
    <n v="1"/>
    <n v="7"/>
    <x v="0"/>
    <x v="0"/>
  </r>
  <r>
    <n v="9313"/>
    <n v="114824280"/>
    <s v="Recovery"/>
    <n v="200"/>
    <s v="AHY"/>
    <s v="F"/>
    <n v="12"/>
    <n v="2013"/>
    <n v="2013"/>
    <n v="9"/>
    <x v="0"/>
    <s v="9B"/>
    <x v="4"/>
    <n v="1"/>
    <n v="7"/>
    <x v="0"/>
    <x v="0"/>
  </r>
  <r>
    <n v="9314"/>
    <n v="114824281"/>
    <s v="Recovery"/>
    <n v="200"/>
    <s v="AHY"/>
    <s v="F"/>
    <n v="11"/>
    <n v="2018"/>
    <n v="2018"/>
    <n v="14"/>
    <x v="0"/>
    <s v="14B"/>
    <x v="10"/>
    <n v="1"/>
    <n v="7"/>
    <x v="0"/>
    <x v="0"/>
  </r>
  <r>
    <n v="9320"/>
    <n v="114824287"/>
    <s v="Recovery"/>
    <n v="200"/>
    <s v="AHY"/>
    <s v="F"/>
    <n v="9"/>
    <n v="2017"/>
    <n v="2017"/>
    <n v="13"/>
    <x v="0"/>
    <s v="13B"/>
    <x v="13"/>
    <n v="1"/>
    <n v="7"/>
    <x v="0"/>
    <x v="0"/>
  </r>
  <r>
    <n v="9323"/>
    <n v="114824290"/>
    <s v="Recovery"/>
    <n v="200"/>
    <s v="HY"/>
    <s v="M"/>
    <n v="1"/>
    <n v="2013"/>
    <n v="2012"/>
    <n v="8"/>
    <x v="0"/>
    <s v="8B"/>
    <x v="3"/>
    <n v="1"/>
    <n v="7"/>
    <x v="0"/>
    <x v="0"/>
  </r>
  <r>
    <n v="9325"/>
    <n v="114824292"/>
    <s v="Recovery"/>
    <n v="200"/>
    <s v="AHY"/>
    <s v="M"/>
    <n v="11"/>
    <n v="2012"/>
    <n v="2012"/>
    <n v="8"/>
    <x v="0"/>
    <s v="8B"/>
    <x v="3"/>
    <n v="1"/>
    <n v="7"/>
    <x v="0"/>
    <x v="0"/>
  </r>
  <r>
    <n v="9327"/>
    <n v="114824294"/>
    <s v="Recovery"/>
    <n v="200"/>
    <s v="AHY"/>
    <s v="F"/>
    <n v="9"/>
    <n v="2013"/>
    <n v="2013"/>
    <n v="9"/>
    <x v="0"/>
    <s v="9B"/>
    <x v="4"/>
    <n v="1"/>
    <n v="7"/>
    <x v="0"/>
    <x v="0"/>
  </r>
  <r>
    <n v="9329"/>
    <n v="114824296"/>
    <s v="Recovery"/>
    <n v="200"/>
    <s v="AHY"/>
    <s v="F"/>
    <n v="12"/>
    <n v="2016"/>
    <n v="2016"/>
    <n v="12"/>
    <x v="0"/>
    <s v="12B"/>
    <x v="12"/>
    <n v="1"/>
    <n v="7"/>
    <x v="0"/>
    <x v="0"/>
  </r>
  <r>
    <n v="9331"/>
    <n v="114824298"/>
    <s v="Recovery"/>
    <n v="200"/>
    <s v="AHY"/>
    <s v="F"/>
    <n v="12"/>
    <n v="2012"/>
    <n v="2012"/>
    <n v="8"/>
    <x v="0"/>
    <s v="8B"/>
    <x v="3"/>
    <n v="1"/>
    <n v="7"/>
    <x v="0"/>
    <x v="0"/>
  </r>
  <r>
    <n v="9332"/>
    <n v="114824299"/>
    <s v="Recovery"/>
    <n v="200"/>
    <s v="AHY"/>
    <s v="F"/>
    <n v="12"/>
    <n v="2012"/>
    <n v="2012"/>
    <n v="8"/>
    <x v="0"/>
    <s v="8B"/>
    <x v="3"/>
    <n v="1"/>
    <n v="7"/>
    <x v="0"/>
    <x v="0"/>
  </r>
  <r>
    <n v="9335"/>
    <n v="114824302"/>
    <s v="Recovery"/>
    <n v="200"/>
    <s v="AHY"/>
    <s v="F"/>
    <n v="11"/>
    <n v="2014"/>
    <n v="2014"/>
    <n v="10"/>
    <x v="0"/>
    <s v="10B"/>
    <x v="7"/>
    <n v="1"/>
    <n v="7"/>
    <x v="0"/>
    <x v="0"/>
  </r>
  <r>
    <n v="9336"/>
    <n v="114824303"/>
    <s v="Recovery"/>
    <n v="200"/>
    <s v="AHY"/>
    <s v="F"/>
    <n v="1"/>
    <n v="2013"/>
    <n v="2012"/>
    <n v="8"/>
    <x v="0"/>
    <s v="8B"/>
    <x v="3"/>
    <n v="1"/>
    <n v="7"/>
    <x v="0"/>
    <x v="0"/>
  </r>
  <r>
    <n v="9339"/>
    <n v="114824306"/>
    <s v="Recovery"/>
    <n v="200"/>
    <s v="AHY"/>
    <s v="M"/>
    <n v="11"/>
    <n v="2012"/>
    <n v="2012"/>
    <n v="8"/>
    <x v="0"/>
    <s v="8B"/>
    <x v="3"/>
    <n v="1"/>
    <n v="7"/>
    <x v="0"/>
    <x v="0"/>
  </r>
  <r>
    <n v="9341"/>
    <n v="114824308"/>
    <s v="Recovery"/>
    <n v="200"/>
    <s v="AHY"/>
    <s v="M"/>
    <n v="1"/>
    <n v="2018"/>
    <n v="2017"/>
    <n v="13"/>
    <x v="0"/>
    <s v="13B"/>
    <x v="13"/>
    <n v="1"/>
    <n v="7"/>
    <x v="0"/>
    <x v="0"/>
  </r>
  <r>
    <n v="9347"/>
    <n v="114824314"/>
    <s v="Recovery"/>
    <n v="200"/>
    <s v="AHY"/>
    <s v="M"/>
    <n v="9"/>
    <n v="2013"/>
    <n v="2013"/>
    <n v="9"/>
    <x v="0"/>
    <s v="9B"/>
    <x v="4"/>
    <n v="1"/>
    <n v="7"/>
    <x v="0"/>
    <x v="0"/>
  </r>
  <r>
    <n v="9352"/>
    <n v="114824319"/>
    <s v="Recovery"/>
    <n v="200"/>
    <s v="AHY"/>
    <s v="M"/>
    <n v="9"/>
    <n v="2016"/>
    <n v="2016"/>
    <n v="12"/>
    <x v="0"/>
    <s v="12B"/>
    <x v="12"/>
    <n v="1"/>
    <n v="7"/>
    <x v="0"/>
    <x v="0"/>
  </r>
  <r>
    <n v="9355"/>
    <n v="114824322"/>
    <s v="Recovery"/>
    <n v="200"/>
    <s v="AHY"/>
    <s v="M"/>
    <n v="9"/>
    <n v="2012"/>
    <n v="2012"/>
    <n v="8"/>
    <x v="0"/>
    <s v="8B"/>
    <x v="3"/>
    <n v="1"/>
    <n v="7"/>
    <x v="0"/>
    <x v="0"/>
  </r>
  <r>
    <n v="9358"/>
    <n v="114824325"/>
    <s v="Recovery"/>
    <n v="200"/>
    <s v="AHY"/>
    <s v="F"/>
    <n v="1"/>
    <n v="2013"/>
    <n v="2012"/>
    <n v="8"/>
    <x v="0"/>
    <s v="8B"/>
    <x v="3"/>
    <n v="1"/>
    <n v="7"/>
    <x v="0"/>
    <x v="0"/>
  </r>
  <r>
    <n v="9362"/>
    <n v="114824329"/>
    <s v="Recovery"/>
    <n v="200"/>
    <s v="AHY"/>
    <s v="F"/>
    <n v="9"/>
    <n v="2020"/>
    <n v="2020"/>
    <n v="16"/>
    <x v="0"/>
    <s v="16B"/>
    <x v="15"/>
    <n v="1"/>
    <n v="7"/>
    <x v="0"/>
    <x v="0"/>
  </r>
  <r>
    <n v="9363"/>
    <n v="114824330"/>
    <s v="Recovery"/>
    <n v="200"/>
    <s v="AHY"/>
    <s v="M"/>
    <n v="12"/>
    <n v="2012"/>
    <n v="2012"/>
    <n v="8"/>
    <x v="0"/>
    <s v="8B"/>
    <x v="3"/>
    <n v="1"/>
    <n v="7"/>
    <x v="0"/>
    <x v="0"/>
  </r>
  <r>
    <n v="9364"/>
    <n v="114824331"/>
    <s v="Recovery"/>
    <n v="200"/>
    <s v="AHY"/>
    <s v="F"/>
    <n v="1"/>
    <n v="2013"/>
    <n v="2012"/>
    <n v="8"/>
    <x v="0"/>
    <s v="8B"/>
    <x v="3"/>
    <n v="1"/>
    <n v="7"/>
    <x v="0"/>
    <x v="0"/>
  </r>
  <r>
    <n v="9365"/>
    <n v="114824332"/>
    <s v="Recovery"/>
    <n v="200"/>
    <s v="AHY"/>
    <s v="F"/>
    <n v="12"/>
    <n v="2015"/>
    <n v="2015"/>
    <n v="11"/>
    <x v="0"/>
    <s v="11B"/>
    <x v="14"/>
    <n v="1"/>
    <n v="7"/>
    <x v="0"/>
    <x v="0"/>
  </r>
  <r>
    <n v="9371"/>
    <n v="114824338"/>
    <s v="Recovery"/>
    <n v="200"/>
    <s v="AHY"/>
    <s v="M"/>
    <n v="1"/>
    <n v="2017"/>
    <n v="2016"/>
    <n v="12"/>
    <x v="0"/>
    <s v="12B"/>
    <x v="12"/>
    <n v="1"/>
    <n v="7"/>
    <x v="0"/>
    <x v="0"/>
  </r>
  <r>
    <n v="9374"/>
    <n v="114824341"/>
    <s v="Recovery"/>
    <n v="200"/>
    <s v="AHY"/>
    <s v="F"/>
    <n v="2"/>
    <n v="2014"/>
    <n v="2013"/>
    <n v="9"/>
    <x v="0"/>
    <s v="9B"/>
    <x v="4"/>
    <n v="1"/>
    <n v="7"/>
    <x v="0"/>
    <x v="0"/>
  </r>
  <r>
    <n v="9375"/>
    <n v="114824342"/>
    <s v="Recovery"/>
    <n v="200"/>
    <s v="AHY"/>
    <s v="F"/>
    <n v="11"/>
    <n v="2013"/>
    <n v="2013"/>
    <n v="9"/>
    <x v="0"/>
    <s v="9B"/>
    <x v="4"/>
    <n v="1"/>
    <n v="7"/>
    <x v="0"/>
    <x v="0"/>
  </r>
  <r>
    <n v="9376"/>
    <n v="114824343"/>
    <s v="Recovery"/>
    <n v="200"/>
    <s v="AHY"/>
    <s v="M"/>
    <n v="1"/>
    <n v="2013"/>
    <n v="2012"/>
    <n v="8"/>
    <x v="0"/>
    <s v="8B"/>
    <x v="3"/>
    <n v="1"/>
    <n v="7"/>
    <x v="0"/>
    <x v="0"/>
  </r>
  <r>
    <n v="9377"/>
    <n v="114824344"/>
    <s v="Recovery"/>
    <n v="200"/>
    <s v="AHY"/>
    <s v="M"/>
    <n v="12"/>
    <n v="2015"/>
    <n v="2015"/>
    <n v="11"/>
    <x v="0"/>
    <s v="11B"/>
    <x v="14"/>
    <n v="1"/>
    <n v="7"/>
    <x v="0"/>
    <x v="0"/>
  </r>
  <r>
    <n v="9378"/>
    <n v="114824345"/>
    <s v="Recovery"/>
    <n v="200"/>
    <s v="AHY"/>
    <s v="M"/>
    <n v="9"/>
    <n v="2013"/>
    <n v="2013"/>
    <n v="9"/>
    <x v="0"/>
    <s v="9B"/>
    <x v="4"/>
    <n v="1"/>
    <n v="7"/>
    <x v="0"/>
    <x v="0"/>
  </r>
  <r>
    <n v="9380"/>
    <n v="114824347"/>
    <s v="Recovery"/>
    <n v="200"/>
    <s v="AHY"/>
    <s v="M"/>
    <n v="1"/>
    <n v="2013"/>
    <n v="2012"/>
    <n v="8"/>
    <x v="0"/>
    <s v="8B"/>
    <x v="3"/>
    <n v="1"/>
    <n v="7"/>
    <x v="0"/>
    <x v="0"/>
  </r>
  <r>
    <n v="9390"/>
    <n v="114824357"/>
    <s v="Recovery"/>
    <n v="200"/>
    <s v="AHY"/>
    <s v="F"/>
    <n v="11"/>
    <n v="2014"/>
    <n v="2014"/>
    <n v="10"/>
    <x v="0"/>
    <s v="10B"/>
    <x v="7"/>
    <n v="1"/>
    <n v="34"/>
    <x v="9"/>
    <x v="1"/>
  </r>
  <r>
    <n v="9394"/>
    <n v="114824361"/>
    <s v="Recovery"/>
    <n v="200"/>
    <s v="HY"/>
    <s v="F"/>
    <n v="9"/>
    <n v="2012"/>
    <n v="2012"/>
    <n v="8"/>
    <x v="0"/>
    <s v="8B"/>
    <x v="3"/>
    <n v="1"/>
    <n v="7"/>
    <x v="0"/>
    <x v="0"/>
  </r>
  <r>
    <n v="9395"/>
    <n v="114824362"/>
    <s v="Recovery"/>
    <n v="200"/>
    <s v="AHY"/>
    <s v="M"/>
    <n v="1"/>
    <n v="2016"/>
    <n v="2015"/>
    <n v="11"/>
    <x v="0"/>
    <s v="11B"/>
    <x v="14"/>
    <n v="1"/>
    <n v="7"/>
    <x v="0"/>
    <x v="0"/>
  </r>
  <r>
    <n v="9398"/>
    <n v="114824365"/>
    <s v="Recovery"/>
    <n v="200"/>
    <s v="AHY"/>
    <s v="M"/>
    <n v="1"/>
    <n v="2014"/>
    <n v="2013"/>
    <n v="9"/>
    <x v="0"/>
    <s v="9B"/>
    <x v="4"/>
    <n v="1"/>
    <n v="7"/>
    <x v="0"/>
    <x v="0"/>
  </r>
  <r>
    <n v="9403"/>
    <n v="114824370"/>
    <s v="Recovery"/>
    <n v="200"/>
    <s v="AHY"/>
    <s v="F"/>
    <n v="9"/>
    <n v="2014"/>
    <n v="2014"/>
    <n v="10"/>
    <x v="0"/>
    <s v="10B"/>
    <x v="7"/>
    <n v="1"/>
    <n v="50"/>
    <x v="3"/>
    <x v="1"/>
  </r>
  <r>
    <n v="9409"/>
    <n v="114824376"/>
    <s v="Recovery"/>
    <n v="200"/>
    <s v="HY"/>
    <s v="F"/>
    <n v="11"/>
    <n v="2012"/>
    <n v="2012"/>
    <n v="8"/>
    <x v="0"/>
    <s v="8B"/>
    <x v="3"/>
    <n v="1"/>
    <n v="7"/>
    <x v="0"/>
    <x v="0"/>
  </r>
  <r>
    <n v="9410"/>
    <n v="114824377"/>
    <s v="Recovery"/>
    <n v="200"/>
    <s v="AHY"/>
    <s v="M"/>
    <n v="12"/>
    <n v="2012"/>
    <n v="2012"/>
    <n v="8"/>
    <x v="0"/>
    <s v="8B"/>
    <x v="3"/>
    <n v="1"/>
    <n v="7"/>
    <x v="0"/>
    <x v="0"/>
  </r>
  <r>
    <n v="9411"/>
    <n v="114824378"/>
    <s v="Recovery"/>
    <n v="200"/>
    <s v="AHY"/>
    <s v="M"/>
    <n v="12"/>
    <n v="2015"/>
    <n v="2015"/>
    <n v="11"/>
    <x v="0"/>
    <s v="11B"/>
    <x v="14"/>
    <n v="1"/>
    <n v="7"/>
    <x v="0"/>
    <x v="0"/>
  </r>
  <r>
    <n v="9415"/>
    <n v="114824382"/>
    <s v="Recovery"/>
    <n v="200"/>
    <s v="AHY"/>
    <s v="F"/>
    <n v="11"/>
    <n v="2016"/>
    <n v="2016"/>
    <n v="12"/>
    <x v="0"/>
    <s v="12B"/>
    <x v="12"/>
    <n v="1"/>
    <n v="7"/>
    <x v="0"/>
    <x v="0"/>
  </r>
  <r>
    <n v="9417"/>
    <n v="114824384"/>
    <s v="Recovery"/>
    <n v="200"/>
    <s v="AHY"/>
    <s v="M"/>
    <n v="12"/>
    <n v="2015"/>
    <n v="2015"/>
    <n v="11"/>
    <x v="0"/>
    <s v="11B"/>
    <x v="14"/>
    <n v="1"/>
    <n v="7"/>
    <x v="0"/>
    <x v="0"/>
  </r>
  <r>
    <n v="9426"/>
    <n v="114824393"/>
    <s v="Recovery"/>
    <n v="200"/>
    <s v="AHY"/>
    <s v="M"/>
    <n v="1"/>
    <n v="2019"/>
    <n v="2018"/>
    <n v="14"/>
    <x v="0"/>
    <s v="14B"/>
    <x v="10"/>
    <n v="1"/>
    <n v="7"/>
    <x v="0"/>
    <x v="0"/>
  </r>
  <r>
    <n v="9431"/>
    <n v="114824398"/>
    <s v="Recovery"/>
    <n v="200"/>
    <s v="AHY"/>
    <s v="F"/>
    <n v="12"/>
    <n v="2012"/>
    <n v="2012"/>
    <n v="8"/>
    <x v="0"/>
    <s v="8B"/>
    <x v="3"/>
    <n v="1"/>
    <n v="7"/>
    <x v="0"/>
    <x v="0"/>
  </r>
  <r>
    <n v="9435"/>
    <n v="114824402"/>
    <s v="Recovery"/>
    <n v="200"/>
    <s v="AHY"/>
    <s v="F"/>
    <n v="1"/>
    <n v="2014"/>
    <n v="2013"/>
    <n v="9"/>
    <x v="0"/>
    <s v="9B"/>
    <x v="4"/>
    <n v="1"/>
    <n v="7"/>
    <x v="0"/>
    <x v="0"/>
  </r>
  <r>
    <n v="9439"/>
    <n v="114824406"/>
    <s v="Recovery"/>
    <n v="200"/>
    <s v="AHY"/>
    <s v="F"/>
    <n v="1"/>
    <n v="2014"/>
    <n v="2013"/>
    <n v="9"/>
    <x v="0"/>
    <s v="9B"/>
    <x v="4"/>
    <n v="1"/>
    <n v="7"/>
    <x v="0"/>
    <x v="0"/>
  </r>
  <r>
    <n v="9447"/>
    <n v="114824414"/>
    <s v="Recovery"/>
    <n v="200"/>
    <s v="AHY"/>
    <s v="M"/>
    <n v="9"/>
    <n v="2015"/>
    <n v="2015"/>
    <n v="11"/>
    <x v="0"/>
    <s v="11B"/>
    <x v="14"/>
    <n v="1"/>
    <n v="7"/>
    <x v="0"/>
    <x v="0"/>
  </r>
  <r>
    <n v="9450"/>
    <n v="114824417"/>
    <s v="Recovery"/>
    <n v="200"/>
    <s v="AHY"/>
    <s v="M"/>
    <n v="12"/>
    <n v="2016"/>
    <n v="2016"/>
    <n v="12"/>
    <x v="0"/>
    <s v="12B"/>
    <x v="12"/>
    <n v="1"/>
    <n v="7"/>
    <x v="0"/>
    <x v="0"/>
  </r>
  <r>
    <n v="9454"/>
    <n v="114824421"/>
    <s v="Recovery"/>
    <n v="200"/>
    <s v="AHY"/>
    <s v="M"/>
    <n v="1"/>
    <n v="2013"/>
    <n v="2012"/>
    <n v="8"/>
    <x v="0"/>
    <s v="8B"/>
    <x v="3"/>
    <n v="1"/>
    <n v="7"/>
    <x v="0"/>
    <x v="0"/>
  </r>
  <r>
    <n v="9459"/>
    <n v="114824426"/>
    <s v="Recovery"/>
    <n v="200"/>
    <s v="AHY"/>
    <s v="M"/>
    <n v="12"/>
    <n v="2012"/>
    <n v="2012"/>
    <n v="8"/>
    <x v="0"/>
    <s v="8B"/>
    <x v="3"/>
    <n v="1"/>
    <n v="7"/>
    <x v="0"/>
    <x v="0"/>
  </r>
  <r>
    <n v="9460"/>
    <n v="114824427"/>
    <s v="Recovery"/>
    <n v="200"/>
    <s v="AHY"/>
    <s v="F"/>
    <n v="12"/>
    <n v="2013"/>
    <n v="2013"/>
    <n v="9"/>
    <x v="0"/>
    <s v="9B"/>
    <x v="4"/>
    <n v="1"/>
    <n v="7"/>
    <x v="0"/>
    <x v="0"/>
  </r>
  <r>
    <n v="9464"/>
    <n v="114824431"/>
    <s v="Recovery"/>
    <n v="200"/>
    <s v="AHY"/>
    <s v="M"/>
    <n v="1"/>
    <n v="2017"/>
    <n v="2016"/>
    <n v="12"/>
    <x v="0"/>
    <s v="12B"/>
    <x v="12"/>
    <n v="1"/>
    <n v="7"/>
    <x v="0"/>
    <x v="0"/>
  </r>
  <r>
    <n v="9465"/>
    <n v="114824432"/>
    <s v="Recovery"/>
    <n v="200"/>
    <s v="AHY"/>
    <s v="M"/>
    <n v="9"/>
    <n v="2016"/>
    <n v="2016"/>
    <n v="12"/>
    <x v="0"/>
    <s v="12B"/>
    <x v="12"/>
    <n v="1"/>
    <n v="7"/>
    <x v="0"/>
    <x v="0"/>
  </r>
  <r>
    <n v="9466"/>
    <n v="114824433"/>
    <s v="Recovery"/>
    <n v="200"/>
    <s v="AHY"/>
    <s v="M"/>
    <n v="9"/>
    <n v="2014"/>
    <n v="2014"/>
    <n v="10"/>
    <x v="0"/>
    <s v="10B"/>
    <x v="7"/>
    <n v="1"/>
    <n v="7"/>
    <x v="0"/>
    <x v="0"/>
  </r>
  <r>
    <n v="9467"/>
    <n v="114824434"/>
    <s v="Recovery"/>
    <n v="200"/>
    <s v="AHY"/>
    <s v="M"/>
    <n v="9"/>
    <n v="2015"/>
    <n v="2015"/>
    <n v="11"/>
    <x v="0"/>
    <s v="11B"/>
    <x v="14"/>
    <n v="1"/>
    <n v="7"/>
    <x v="0"/>
    <x v="0"/>
  </r>
  <r>
    <n v="9475"/>
    <n v="114824442"/>
    <s v="Recovery"/>
    <n v="200"/>
    <s v="AHY"/>
    <s v="M"/>
    <n v="9"/>
    <n v="2015"/>
    <n v="2015"/>
    <n v="11"/>
    <x v="0"/>
    <s v="11B"/>
    <x v="14"/>
    <n v="1"/>
    <n v="7"/>
    <x v="0"/>
    <x v="0"/>
  </r>
  <r>
    <n v="9478"/>
    <n v="114824445"/>
    <s v="Recovery"/>
    <n v="200"/>
    <s v="AHY"/>
    <s v="F"/>
    <n v="9"/>
    <n v="2018"/>
    <n v="2018"/>
    <n v="14"/>
    <x v="0"/>
    <s v="14B"/>
    <x v="10"/>
    <n v="1"/>
    <n v="7"/>
    <x v="0"/>
    <x v="0"/>
  </r>
  <r>
    <n v="9479"/>
    <n v="114824446"/>
    <s v="Recovery"/>
    <n v="200"/>
    <s v="AHY"/>
    <s v="F"/>
    <n v="1"/>
    <n v="2016"/>
    <n v="2015"/>
    <n v="11"/>
    <x v="0"/>
    <s v="11B"/>
    <x v="14"/>
    <n v="1"/>
    <n v="7"/>
    <x v="0"/>
    <x v="0"/>
  </r>
  <r>
    <n v="9482"/>
    <n v="114824449"/>
    <s v="Recovery"/>
    <n v="200"/>
    <s v="AHY"/>
    <s v="F"/>
    <n v="11"/>
    <n v="2015"/>
    <n v="2015"/>
    <n v="11"/>
    <x v="0"/>
    <s v="11B"/>
    <x v="14"/>
    <n v="1"/>
    <n v="7"/>
    <x v="0"/>
    <x v="0"/>
  </r>
  <r>
    <n v="9485"/>
    <n v="114824452"/>
    <s v="Recovery"/>
    <n v="200"/>
    <s v="AHY"/>
    <s v="F"/>
    <n v="1"/>
    <n v="2013"/>
    <n v="2012"/>
    <n v="8"/>
    <x v="0"/>
    <s v="8B"/>
    <x v="3"/>
    <n v="1"/>
    <n v="7"/>
    <x v="0"/>
    <x v="0"/>
  </r>
  <r>
    <n v="9492"/>
    <n v="114824459"/>
    <s v="Recovery"/>
    <n v="200"/>
    <s v="AHY"/>
    <s v="F"/>
    <n v="9"/>
    <n v="2015"/>
    <n v="2015"/>
    <n v="11"/>
    <x v="0"/>
    <s v="11B"/>
    <x v="14"/>
    <n v="1"/>
    <n v="7"/>
    <x v="0"/>
    <x v="0"/>
  </r>
  <r>
    <n v="9498"/>
    <n v="114824465"/>
    <s v="Recovery"/>
    <n v="200"/>
    <s v="AHY"/>
    <s v="M"/>
    <n v="1"/>
    <n v="2018"/>
    <n v="2017"/>
    <n v="13"/>
    <x v="0"/>
    <s v="13B"/>
    <x v="13"/>
    <n v="1"/>
    <n v="7"/>
    <x v="0"/>
    <x v="0"/>
  </r>
  <r>
    <n v="9502"/>
    <n v="114824469"/>
    <s v="Recovery"/>
    <n v="200"/>
    <s v="AHY"/>
    <s v="M"/>
    <n v="9"/>
    <n v="2015"/>
    <n v="2015"/>
    <n v="11"/>
    <x v="0"/>
    <s v="11B"/>
    <x v="14"/>
    <n v="1"/>
    <n v="7"/>
    <x v="0"/>
    <x v="0"/>
  </r>
  <r>
    <n v="9503"/>
    <n v="114824470"/>
    <s v="Recovery"/>
    <n v="200"/>
    <s v="AHY"/>
    <s v="F"/>
    <n v="1"/>
    <n v="2014"/>
    <n v="2013"/>
    <n v="9"/>
    <x v="0"/>
    <s v="9B"/>
    <x v="4"/>
    <n v="1"/>
    <n v="7"/>
    <x v="0"/>
    <x v="0"/>
  </r>
  <r>
    <n v="9516"/>
    <n v="114824483"/>
    <s v="Recovery"/>
    <n v="200"/>
    <s v="AHY"/>
    <s v="F"/>
    <n v="9"/>
    <n v="2018"/>
    <n v="2018"/>
    <n v="14"/>
    <x v="0"/>
    <s v="14B"/>
    <x v="10"/>
    <n v="1"/>
    <n v="7"/>
    <x v="0"/>
    <x v="0"/>
  </r>
  <r>
    <n v="9517"/>
    <n v="114824484"/>
    <s v="Recovery"/>
    <n v="200"/>
    <s v="AHY"/>
    <s v="F"/>
    <n v="1"/>
    <n v="2019"/>
    <n v="2018"/>
    <n v="14"/>
    <x v="0"/>
    <s v="14B"/>
    <x v="10"/>
    <n v="1"/>
    <n v="7"/>
    <x v="0"/>
    <x v="0"/>
  </r>
  <r>
    <n v="9518"/>
    <n v="114824485"/>
    <s v="Recovery"/>
    <n v="200"/>
    <s v="AHY"/>
    <s v="F"/>
    <n v="1"/>
    <n v="2013"/>
    <n v="2012"/>
    <n v="8"/>
    <x v="0"/>
    <s v="8B"/>
    <x v="3"/>
    <n v="1"/>
    <n v="7"/>
    <x v="0"/>
    <x v="0"/>
  </r>
  <r>
    <n v="9521"/>
    <n v="114824488"/>
    <s v="Recovery"/>
    <n v="200"/>
    <s v="AHY"/>
    <s v="M"/>
    <n v="1"/>
    <n v="2015"/>
    <n v="2014"/>
    <n v="10"/>
    <x v="0"/>
    <s v="10B"/>
    <x v="7"/>
    <n v="1"/>
    <n v="7"/>
    <x v="0"/>
    <x v="0"/>
  </r>
  <r>
    <n v="9527"/>
    <n v="114824494"/>
    <s v="Recovery"/>
    <n v="200"/>
    <s v="AHY"/>
    <s v="M"/>
    <n v="11"/>
    <n v="2014"/>
    <n v="2014"/>
    <n v="10"/>
    <x v="0"/>
    <s v="10B"/>
    <x v="7"/>
    <n v="1"/>
    <n v="7"/>
    <x v="0"/>
    <x v="0"/>
  </r>
  <r>
    <n v="9533"/>
    <n v="114824500"/>
    <s v="Recovery"/>
    <n v="200"/>
    <s v="AHY"/>
    <s v="F"/>
    <n v="9"/>
    <n v="2016"/>
    <n v="2016"/>
    <n v="12"/>
    <x v="0"/>
    <s v="12B"/>
    <x v="12"/>
    <n v="1"/>
    <n v="7"/>
    <x v="0"/>
    <x v="0"/>
  </r>
  <r>
    <n v="9539"/>
    <n v="114824506"/>
    <s v="Recovery"/>
    <n v="200"/>
    <s v="AHY"/>
    <s v="F"/>
    <n v="9"/>
    <n v="2015"/>
    <n v="2015"/>
    <n v="11"/>
    <x v="0"/>
    <s v="11B"/>
    <x v="14"/>
    <n v="1"/>
    <n v="7"/>
    <x v="0"/>
    <x v="0"/>
  </r>
  <r>
    <n v="9540"/>
    <n v="114824507"/>
    <s v="Recovery"/>
    <n v="200"/>
    <s v="AHY"/>
    <s v="F"/>
    <n v="9"/>
    <n v="2016"/>
    <n v="2016"/>
    <n v="12"/>
    <x v="0"/>
    <s v="12B"/>
    <x v="12"/>
    <n v="1"/>
    <n v="7"/>
    <x v="0"/>
    <x v="0"/>
  </r>
  <r>
    <n v="9541"/>
    <n v="114824508"/>
    <s v="Recovery"/>
    <n v="200"/>
    <s v="AHY"/>
    <s v="F"/>
    <n v="12"/>
    <n v="2012"/>
    <n v="2012"/>
    <n v="8"/>
    <x v="0"/>
    <s v="8B"/>
    <x v="3"/>
    <n v="1"/>
    <n v="7"/>
    <x v="0"/>
    <x v="0"/>
  </r>
  <r>
    <n v="9551"/>
    <n v="114824518"/>
    <s v="Recovery"/>
    <n v="200"/>
    <s v="AHY"/>
    <s v="M"/>
    <n v="11"/>
    <n v="2013"/>
    <n v="2013"/>
    <n v="9"/>
    <x v="0"/>
    <s v="9B"/>
    <x v="4"/>
    <n v="1"/>
    <n v="7"/>
    <x v="0"/>
    <x v="0"/>
  </r>
  <r>
    <n v="9563"/>
    <n v="114824530"/>
    <s v="Recovery"/>
    <n v="200"/>
    <s v="AHY"/>
    <s v="F"/>
    <n v="9"/>
    <n v="2016"/>
    <n v="2016"/>
    <n v="12"/>
    <x v="0"/>
    <s v="12B"/>
    <x v="12"/>
    <n v="1"/>
    <n v="7"/>
    <x v="0"/>
    <x v="0"/>
  </r>
  <r>
    <n v="9564"/>
    <n v="114824531"/>
    <s v="Recovery"/>
    <n v="200"/>
    <s v="AHY"/>
    <s v="M"/>
    <n v="9"/>
    <n v="2020"/>
    <n v="2020"/>
    <n v="16"/>
    <x v="0"/>
    <s v="16B"/>
    <x v="15"/>
    <n v="1"/>
    <n v="7"/>
    <x v="0"/>
    <x v="0"/>
  </r>
  <r>
    <n v="9565"/>
    <n v="114824532"/>
    <s v="Recovery"/>
    <n v="200"/>
    <s v="AHY"/>
    <s v="M"/>
    <n v="9"/>
    <n v="2016"/>
    <n v="2016"/>
    <n v="12"/>
    <x v="0"/>
    <s v="12B"/>
    <x v="12"/>
    <n v="1"/>
    <n v="7"/>
    <x v="0"/>
    <x v="0"/>
  </r>
  <r>
    <n v="9570"/>
    <n v="114824537"/>
    <s v="Recovery"/>
    <n v="200"/>
    <s v="AHY"/>
    <s v="F"/>
    <n v="12"/>
    <n v="2019"/>
    <n v="2019"/>
    <n v="15"/>
    <x v="0"/>
    <s v="15B"/>
    <x v="11"/>
    <n v="1"/>
    <n v="7"/>
    <x v="0"/>
    <x v="0"/>
  </r>
  <r>
    <n v="9571"/>
    <n v="114824538"/>
    <s v="Recovery"/>
    <n v="200"/>
    <s v="AHY"/>
    <s v="F"/>
    <n v="11"/>
    <n v="2013"/>
    <n v="2013"/>
    <n v="9"/>
    <x v="0"/>
    <s v="9B"/>
    <x v="4"/>
    <n v="1"/>
    <n v="7"/>
    <x v="0"/>
    <x v="0"/>
  </r>
  <r>
    <n v="9575"/>
    <n v="114824542"/>
    <s v="Recovery"/>
    <n v="200"/>
    <s v="AHY"/>
    <s v="F"/>
    <n v="9"/>
    <n v="2016"/>
    <n v="2016"/>
    <n v="12"/>
    <x v="0"/>
    <s v="12B"/>
    <x v="12"/>
    <n v="1"/>
    <n v="7"/>
    <x v="0"/>
    <x v="0"/>
  </r>
  <r>
    <n v="9578"/>
    <n v="114824545"/>
    <s v="Recovery"/>
    <n v="200"/>
    <s v="AHY"/>
    <s v="F"/>
    <n v="1"/>
    <n v="2015"/>
    <n v="2014"/>
    <n v="10"/>
    <x v="0"/>
    <s v="10B"/>
    <x v="7"/>
    <n v="1"/>
    <n v="7"/>
    <x v="0"/>
    <x v="0"/>
  </r>
  <r>
    <n v="9582"/>
    <n v="114824549"/>
    <s v="Recovery"/>
    <n v="200"/>
    <s v="AHY"/>
    <s v="M"/>
    <n v="11"/>
    <n v="2016"/>
    <n v="2016"/>
    <n v="12"/>
    <x v="0"/>
    <s v="12B"/>
    <x v="12"/>
    <n v="1"/>
    <n v="7"/>
    <x v="0"/>
    <x v="0"/>
  </r>
  <r>
    <n v="9583"/>
    <n v="114824550"/>
    <s v="Recovery"/>
    <n v="200"/>
    <s v="AHY"/>
    <s v="M"/>
    <n v="1"/>
    <n v="2018"/>
    <n v="2017"/>
    <n v="13"/>
    <x v="0"/>
    <s v="13B"/>
    <x v="13"/>
    <n v="1"/>
    <n v="7"/>
    <x v="0"/>
    <x v="0"/>
  </r>
  <r>
    <n v="9586"/>
    <n v="114824553"/>
    <s v="Recovery"/>
    <n v="200"/>
    <s v="AHY"/>
    <s v="F"/>
    <n v="9"/>
    <n v="2015"/>
    <n v="2015"/>
    <n v="11"/>
    <x v="0"/>
    <s v="11B"/>
    <x v="14"/>
    <n v="1"/>
    <n v="7"/>
    <x v="0"/>
    <x v="0"/>
  </r>
  <r>
    <n v="9589"/>
    <n v="114824556"/>
    <s v="Recovery"/>
    <n v="200"/>
    <s v="AHY"/>
    <s v="M"/>
    <n v="12"/>
    <n v="2012"/>
    <n v="2012"/>
    <n v="8"/>
    <x v="0"/>
    <s v="8B"/>
    <x v="3"/>
    <n v="1"/>
    <n v="7"/>
    <x v="0"/>
    <x v="0"/>
  </r>
  <r>
    <n v="9593"/>
    <n v="114824560"/>
    <s v="Recovery"/>
    <n v="200"/>
    <s v="AHY"/>
    <s v="M"/>
    <n v="9"/>
    <n v="2014"/>
    <n v="2014"/>
    <n v="10"/>
    <x v="0"/>
    <s v="10B"/>
    <x v="7"/>
    <n v="1"/>
    <n v="7"/>
    <x v="0"/>
    <x v="0"/>
  </r>
  <r>
    <n v="9596"/>
    <n v="114824563"/>
    <s v="Recovery"/>
    <n v="200"/>
    <s v="AHY"/>
    <s v="M"/>
    <n v="11"/>
    <n v="2013"/>
    <n v="2013"/>
    <n v="9"/>
    <x v="0"/>
    <s v="9B"/>
    <x v="4"/>
    <n v="1"/>
    <n v="7"/>
    <x v="0"/>
    <x v="0"/>
  </r>
  <r>
    <n v="9601"/>
    <n v="114824568"/>
    <s v="Recovery"/>
    <n v="200"/>
    <s v="AHY"/>
    <s v="F"/>
    <n v="9"/>
    <n v="2016"/>
    <n v="2016"/>
    <n v="12"/>
    <x v="0"/>
    <s v="12B"/>
    <x v="12"/>
    <n v="1"/>
    <n v="7"/>
    <x v="0"/>
    <x v="0"/>
  </r>
  <r>
    <n v="9605"/>
    <n v="114824572"/>
    <s v="Recovery"/>
    <n v="200"/>
    <s v="AHY"/>
    <s v="M"/>
    <n v="1"/>
    <n v="2014"/>
    <n v="2013"/>
    <n v="9"/>
    <x v="0"/>
    <s v="9B"/>
    <x v="4"/>
    <n v="1"/>
    <n v="7"/>
    <x v="0"/>
    <x v="0"/>
  </r>
  <r>
    <n v="9608"/>
    <n v="114824575"/>
    <s v="Recovery"/>
    <n v="200"/>
    <s v="AHY"/>
    <s v="M"/>
    <n v="1"/>
    <n v="2013"/>
    <n v="2012"/>
    <n v="8"/>
    <x v="0"/>
    <s v="8B"/>
    <x v="3"/>
    <n v="1"/>
    <n v="7"/>
    <x v="0"/>
    <x v="0"/>
  </r>
  <r>
    <n v="9609"/>
    <n v="114824576"/>
    <s v="Recovery"/>
    <n v="200"/>
    <s v="AHY"/>
    <s v="M"/>
    <n v="12"/>
    <n v="2012"/>
    <n v="2012"/>
    <n v="8"/>
    <x v="0"/>
    <s v="8B"/>
    <x v="3"/>
    <n v="1"/>
    <n v="7"/>
    <x v="0"/>
    <x v="0"/>
  </r>
  <r>
    <n v="9611"/>
    <n v="114824578"/>
    <s v="Recovery"/>
    <n v="200"/>
    <s v="AHY"/>
    <s v="M"/>
    <n v="9"/>
    <n v="2014"/>
    <n v="2014"/>
    <n v="10"/>
    <x v="0"/>
    <s v="10B"/>
    <x v="7"/>
    <n v="1"/>
    <n v="7"/>
    <x v="0"/>
    <x v="0"/>
  </r>
  <r>
    <n v="9612"/>
    <n v="114824579"/>
    <s v="Recovery"/>
    <n v="200"/>
    <s v="AHY"/>
    <s v="F"/>
    <n v="11"/>
    <n v="2013"/>
    <n v="2013"/>
    <n v="9"/>
    <x v="0"/>
    <s v="9B"/>
    <x v="4"/>
    <n v="1"/>
    <n v="7"/>
    <x v="0"/>
    <x v="0"/>
  </r>
  <r>
    <n v="9613"/>
    <n v="114824580"/>
    <s v="Recovery"/>
    <n v="200"/>
    <s v="AHY"/>
    <s v="M"/>
    <n v="1"/>
    <n v="2015"/>
    <n v="2014"/>
    <n v="10"/>
    <x v="0"/>
    <s v="10B"/>
    <x v="7"/>
    <n v="1"/>
    <n v="7"/>
    <x v="0"/>
    <x v="0"/>
  </r>
  <r>
    <n v="9615"/>
    <n v="114824582"/>
    <s v="Recovery"/>
    <n v="200"/>
    <s v="AHY"/>
    <s v="F"/>
    <n v="1"/>
    <n v="2013"/>
    <n v="2012"/>
    <n v="8"/>
    <x v="0"/>
    <s v="8B"/>
    <x v="3"/>
    <n v="1"/>
    <n v="7"/>
    <x v="0"/>
    <x v="0"/>
  </r>
  <r>
    <n v="9621"/>
    <n v="114824588"/>
    <s v="Recovery"/>
    <n v="200"/>
    <s v="AHY"/>
    <s v="M"/>
    <n v="1"/>
    <n v="2014"/>
    <n v="2013"/>
    <n v="9"/>
    <x v="0"/>
    <s v="9B"/>
    <x v="4"/>
    <n v="1"/>
    <n v="7"/>
    <x v="0"/>
    <x v="0"/>
  </r>
  <r>
    <n v="9623"/>
    <n v="114824590"/>
    <s v="Recovery"/>
    <n v="200"/>
    <s v="AHY"/>
    <s v="F"/>
    <n v="11"/>
    <n v="2013"/>
    <n v="2013"/>
    <n v="9"/>
    <x v="0"/>
    <s v="9B"/>
    <x v="4"/>
    <n v="1"/>
    <n v="7"/>
    <x v="0"/>
    <x v="0"/>
  </r>
  <r>
    <n v="9625"/>
    <n v="114824592"/>
    <s v="Recovery"/>
    <n v="200"/>
    <s v="AHY"/>
    <s v="M"/>
    <n v="12"/>
    <n v="2013"/>
    <n v="2013"/>
    <n v="9"/>
    <x v="0"/>
    <s v="9B"/>
    <x v="4"/>
    <n v="1"/>
    <n v="7"/>
    <x v="0"/>
    <x v="0"/>
  </r>
  <r>
    <n v="9627"/>
    <n v="114824594"/>
    <s v="Recovery"/>
    <n v="200"/>
    <s v="AHY"/>
    <s v="M"/>
    <n v="1"/>
    <n v="2013"/>
    <n v="2012"/>
    <n v="8"/>
    <x v="0"/>
    <s v="8B"/>
    <x v="3"/>
    <n v="1"/>
    <n v="7"/>
    <x v="0"/>
    <x v="0"/>
  </r>
  <r>
    <n v="9632"/>
    <n v="114824599"/>
    <s v="Recovery"/>
    <n v="200"/>
    <s v="AHY"/>
    <s v="M"/>
    <n v="11"/>
    <n v="2017"/>
    <n v="2017"/>
    <n v="13"/>
    <x v="0"/>
    <s v="13B"/>
    <x v="13"/>
    <n v="1"/>
    <n v="7"/>
    <x v="0"/>
    <x v="0"/>
  </r>
  <r>
    <n v="9635"/>
    <n v="114824602"/>
    <s v="Recovery"/>
    <n v="200"/>
    <s v="AHY"/>
    <s v="F"/>
    <n v="9"/>
    <n v="2019"/>
    <n v="2019"/>
    <n v="15"/>
    <x v="0"/>
    <s v="15B"/>
    <x v="11"/>
    <n v="1"/>
    <n v="7"/>
    <x v="0"/>
    <x v="0"/>
  </r>
  <r>
    <n v="9647"/>
    <n v="114824614"/>
    <s v="Recovery"/>
    <n v="200"/>
    <s v="AHY"/>
    <s v="F"/>
    <n v="9"/>
    <n v="2016"/>
    <n v="2016"/>
    <n v="12"/>
    <x v="0"/>
    <s v="12B"/>
    <x v="12"/>
    <n v="1"/>
    <n v="7"/>
    <x v="0"/>
    <x v="0"/>
  </r>
  <r>
    <n v="9650"/>
    <n v="114824617"/>
    <s v="Recovery"/>
    <n v="200"/>
    <s v="AHY"/>
    <s v="F"/>
    <n v="9"/>
    <n v="2016"/>
    <n v="2016"/>
    <n v="12"/>
    <x v="0"/>
    <s v="12B"/>
    <x v="12"/>
    <n v="1"/>
    <n v="7"/>
    <x v="0"/>
    <x v="0"/>
  </r>
  <r>
    <n v="9651"/>
    <n v="114824618"/>
    <s v="Recovery"/>
    <n v="200"/>
    <s v="AHY"/>
    <s v="M"/>
    <n v="9"/>
    <n v="2014"/>
    <n v="2014"/>
    <n v="10"/>
    <x v="0"/>
    <s v="10B"/>
    <x v="7"/>
    <n v="1"/>
    <n v="7"/>
    <x v="0"/>
    <x v="0"/>
  </r>
  <r>
    <n v="9662"/>
    <n v="114824629"/>
    <s v="Recovery"/>
    <n v="200"/>
    <s v="HY"/>
    <s v="M"/>
    <n v="12"/>
    <n v="2012"/>
    <n v="2012"/>
    <n v="8"/>
    <x v="0"/>
    <s v="8B"/>
    <x v="3"/>
    <n v="1"/>
    <n v="7"/>
    <x v="0"/>
    <x v="0"/>
  </r>
  <r>
    <n v="9664"/>
    <n v="114824631"/>
    <s v="Recovery"/>
    <n v="200"/>
    <s v="AHY"/>
    <s v="F"/>
    <n v="1"/>
    <n v="2019"/>
    <n v="2018"/>
    <n v="14"/>
    <x v="0"/>
    <s v="14B"/>
    <x v="10"/>
    <n v="1"/>
    <n v="7"/>
    <x v="0"/>
    <x v="0"/>
  </r>
  <r>
    <n v="9673"/>
    <n v="114824640"/>
    <s v="Recovery"/>
    <n v="200"/>
    <s v="AHY"/>
    <s v="F"/>
    <n v="1"/>
    <n v="2014"/>
    <n v="2013"/>
    <n v="9"/>
    <x v="0"/>
    <s v="9B"/>
    <x v="4"/>
    <n v="1"/>
    <n v="7"/>
    <x v="0"/>
    <x v="0"/>
  </r>
  <r>
    <n v="9674"/>
    <n v="114824641"/>
    <s v="Recovery"/>
    <n v="200"/>
    <s v="AHY"/>
    <s v="F"/>
    <n v="9"/>
    <n v="2014"/>
    <n v="2014"/>
    <n v="10"/>
    <x v="0"/>
    <s v="10B"/>
    <x v="7"/>
    <n v="1"/>
    <n v="7"/>
    <x v="0"/>
    <x v="0"/>
  </r>
  <r>
    <n v="9676"/>
    <n v="114824643"/>
    <s v="Recovery"/>
    <n v="200"/>
    <s v="AHY"/>
    <s v="F"/>
    <n v="9"/>
    <n v="2016"/>
    <n v="2016"/>
    <n v="12"/>
    <x v="0"/>
    <s v="12B"/>
    <x v="12"/>
    <n v="1"/>
    <n v="7"/>
    <x v="0"/>
    <x v="0"/>
  </r>
  <r>
    <n v="9677"/>
    <n v="114824644"/>
    <s v="Recovery"/>
    <n v="200"/>
    <s v="AHY"/>
    <s v="F"/>
    <n v="1"/>
    <n v="2018"/>
    <n v="2017"/>
    <n v="13"/>
    <x v="0"/>
    <s v="13B"/>
    <x v="13"/>
    <n v="1"/>
    <n v="7"/>
    <x v="0"/>
    <x v="0"/>
  </r>
  <r>
    <n v="9687"/>
    <n v="114824654"/>
    <s v="Recovery"/>
    <n v="200"/>
    <s v="AHY"/>
    <s v="M"/>
    <n v="1"/>
    <n v="2014"/>
    <n v="2013"/>
    <n v="9"/>
    <x v="0"/>
    <s v="9B"/>
    <x v="4"/>
    <n v="1"/>
    <n v="7"/>
    <x v="0"/>
    <x v="0"/>
  </r>
  <r>
    <n v="9692"/>
    <n v="114824659"/>
    <s v="Recovery"/>
    <n v="200"/>
    <s v="AHY"/>
    <s v="M"/>
    <n v="11"/>
    <n v="2013"/>
    <n v="2013"/>
    <n v="9"/>
    <x v="0"/>
    <s v="9B"/>
    <x v="4"/>
    <n v="1"/>
    <n v="7"/>
    <x v="0"/>
    <x v="0"/>
  </r>
  <r>
    <n v="9705"/>
    <n v="114824672"/>
    <s v="Recovery"/>
    <n v="200"/>
    <s v="AHY"/>
    <s v="M"/>
    <n v="9"/>
    <n v="2013"/>
    <n v="2013"/>
    <n v="9"/>
    <x v="0"/>
    <s v="9B"/>
    <x v="4"/>
    <n v="1"/>
    <n v="7"/>
    <x v="0"/>
    <x v="0"/>
  </r>
  <r>
    <n v="9711"/>
    <n v="114824678"/>
    <s v="Recovery"/>
    <n v="200"/>
    <s v="AHY"/>
    <s v="M"/>
    <n v="9"/>
    <n v="2016"/>
    <n v="2016"/>
    <n v="12"/>
    <x v="0"/>
    <s v="12B"/>
    <x v="12"/>
    <n v="1"/>
    <n v="7"/>
    <x v="0"/>
    <x v="0"/>
  </r>
  <r>
    <n v="9713"/>
    <n v="114824680"/>
    <s v="Recovery"/>
    <n v="200"/>
    <s v="AHY"/>
    <s v="M"/>
    <n v="1"/>
    <n v="2013"/>
    <n v="2012"/>
    <n v="8"/>
    <x v="0"/>
    <s v="8B"/>
    <x v="3"/>
    <n v="1"/>
    <n v="7"/>
    <x v="0"/>
    <x v="0"/>
  </r>
  <r>
    <n v="9720"/>
    <n v="114824687"/>
    <s v="Recovery"/>
    <n v="200"/>
    <s v="AHY"/>
    <s v="F"/>
    <n v="11"/>
    <n v="2015"/>
    <n v="2015"/>
    <n v="11"/>
    <x v="0"/>
    <s v="11B"/>
    <x v="14"/>
    <n v="1"/>
    <n v="7"/>
    <x v="0"/>
    <x v="0"/>
  </r>
  <r>
    <n v="9724"/>
    <n v="114824691"/>
    <s v="Recovery"/>
    <n v="200"/>
    <s v="AHY"/>
    <s v="M"/>
    <n v="11"/>
    <n v="2016"/>
    <n v="2016"/>
    <n v="12"/>
    <x v="0"/>
    <s v="12B"/>
    <x v="12"/>
    <n v="1"/>
    <n v="7"/>
    <x v="0"/>
    <x v="0"/>
  </r>
  <r>
    <n v="9727"/>
    <n v="114824694"/>
    <s v="Recovery"/>
    <n v="200"/>
    <s v="AHY"/>
    <s v="M"/>
    <n v="9"/>
    <n v="2015"/>
    <n v="2015"/>
    <n v="11"/>
    <x v="0"/>
    <s v="11B"/>
    <x v="14"/>
    <n v="1"/>
    <n v="7"/>
    <x v="0"/>
    <x v="0"/>
  </r>
  <r>
    <n v="9735"/>
    <n v="114824702"/>
    <s v="Recovery"/>
    <n v="200"/>
    <s v="AHY"/>
    <s v="F"/>
    <n v="1"/>
    <n v="2013"/>
    <n v="2012"/>
    <n v="8"/>
    <x v="0"/>
    <s v="8B"/>
    <x v="3"/>
    <n v="1"/>
    <n v="7"/>
    <x v="0"/>
    <x v="0"/>
  </r>
  <r>
    <n v="9736"/>
    <n v="114824703"/>
    <s v="Recovery"/>
    <n v="200"/>
    <s v="AHY"/>
    <s v="M"/>
    <n v="9"/>
    <n v="2013"/>
    <n v="2013"/>
    <n v="9"/>
    <x v="0"/>
    <s v="9B"/>
    <x v="4"/>
    <n v="1"/>
    <n v="7"/>
    <x v="0"/>
    <x v="0"/>
  </r>
  <r>
    <n v="9739"/>
    <n v="114824706"/>
    <s v="Recovery"/>
    <n v="200"/>
    <s v="AHY"/>
    <s v="F"/>
    <n v="1"/>
    <n v="2013"/>
    <n v="2012"/>
    <n v="8"/>
    <x v="0"/>
    <s v="8B"/>
    <x v="3"/>
    <n v="1"/>
    <n v="7"/>
    <x v="0"/>
    <x v="0"/>
  </r>
  <r>
    <n v="9740"/>
    <n v="114824707"/>
    <s v="Recovery"/>
    <n v="200"/>
    <s v="AHY"/>
    <s v="M"/>
    <n v="1"/>
    <n v="2013"/>
    <n v="2012"/>
    <n v="8"/>
    <x v="0"/>
    <s v="8B"/>
    <x v="3"/>
    <n v="1"/>
    <n v="7"/>
    <x v="0"/>
    <x v="0"/>
  </r>
  <r>
    <n v="9742"/>
    <n v="114824709"/>
    <s v="Recovery"/>
    <n v="200"/>
    <s v="AHY"/>
    <s v="M"/>
    <n v="1"/>
    <n v="2014"/>
    <n v="2013"/>
    <n v="9"/>
    <x v="0"/>
    <s v="9B"/>
    <x v="4"/>
    <n v="1"/>
    <n v="7"/>
    <x v="0"/>
    <x v="0"/>
  </r>
  <r>
    <n v="9743"/>
    <n v="114824710"/>
    <s v="Recovery"/>
    <n v="200"/>
    <s v="AHY"/>
    <s v="F"/>
    <n v="9"/>
    <n v="2016"/>
    <n v="2016"/>
    <n v="12"/>
    <x v="0"/>
    <s v="12B"/>
    <x v="12"/>
    <n v="1"/>
    <n v="7"/>
    <x v="0"/>
    <x v="0"/>
  </r>
  <r>
    <n v="9745"/>
    <n v="114824712"/>
    <s v="Recovery"/>
    <n v="200"/>
    <s v="AHY"/>
    <s v="M"/>
    <n v="12"/>
    <n v="2012"/>
    <n v="2012"/>
    <n v="8"/>
    <x v="0"/>
    <s v="8B"/>
    <x v="3"/>
    <n v="1"/>
    <n v="7"/>
    <x v="0"/>
    <x v="0"/>
  </r>
  <r>
    <n v="9750"/>
    <n v="114824717"/>
    <s v="Recovery"/>
    <n v="200"/>
    <s v="AHY"/>
    <s v="F"/>
    <n v="1"/>
    <n v="2013"/>
    <n v="2012"/>
    <n v="8"/>
    <x v="0"/>
    <s v="8B"/>
    <x v="3"/>
    <n v="1"/>
    <n v="7"/>
    <x v="0"/>
    <x v="0"/>
  </r>
  <r>
    <n v="9752"/>
    <n v="114824719"/>
    <s v="Recovery"/>
    <n v="200"/>
    <s v="AHY"/>
    <s v="F"/>
    <n v="1"/>
    <n v="2019"/>
    <n v="2018"/>
    <n v="14"/>
    <x v="0"/>
    <s v="14B"/>
    <x v="10"/>
    <n v="1"/>
    <n v="7"/>
    <x v="0"/>
    <x v="0"/>
  </r>
  <r>
    <n v="9758"/>
    <n v="114824725"/>
    <s v="Recovery"/>
    <n v="200"/>
    <s v="AHY"/>
    <s v="M"/>
    <n v="1"/>
    <n v="2013"/>
    <n v="2012"/>
    <n v="8"/>
    <x v="0"/>
    <s v="8B"/>
    <x v="3"/>
    <n v="1"/>
    <n v="7"/>
    <x v="0"/>
    <x v="0"/>
  </r>
  <r>
    <n v="9759"/>
    <n v="114824726"/>
    <s v="Recovery"/>
    <n v="200"/>
    <s v="AHY"/>
    <s v="F"/>
    <n v="2"/>
    <n v="2016"/>
    <n v="2015"/>
    <n v="11"/>
    <x v="0"/>
    <s v="11B"/>
    <x v="14"/>
    <n v="1"/>
    <n v="7"/>
    <x v="0"/>
    <x v="0"/>
  </r>
  <r>
    <n v="9760"/>
    <n v="114824727"/>
    <s v="Recovery"/>
    <n v="200"/>
    <s v="AHY"/>
    <s v="M"/>
    <n v="12"/>
    <n v="2013"/>
    <n v="2013"/>
    <n v="9"/>
    <x v="0"/>
    <s v="9B"/>
    <x v="4"/>
    <n v="1"/>
    <n v="7"/>
    <x v="0"/>
    <x v="0"/>
  </r>
  <r>
    <n v="9761"/>
    <n v="114824728"/>
    <s v="Recovery"/>
    <n v="200"/>
    <s v="AHY"/>
    <s v="F"/>
    <n v="1"/>
    <n v="2015"/>
    <n v="2014"/>
    <n v="10"/>
    <x v="0"/>
    <s v="10B"/>
    <x v="7"/>
    <n v="1"/>
    <n v="7"/>
    <x v="0"/>
    <x v="0"/>
  </r>
  <r>
    <n v="9763"/>
    <n v="114824730"/>
    <s v="Recovery"/>
    <n v="200"/>
    <s v="AHY"/>
    <s v="F"/>
    <n v="1"/>
    <n v="2014"/>
    <n v="2013"/>
    <n v="9"/>
    <x v="0"/>
    <s v="9B"/>
    <x v="4"/>
    <n v="1"/>
    <n v="7"/>
    <x v="0"/>
    <x v="0"/>
  </r>
  <r>
    <n v="9764"/>
    <n v="114824731"/>
    <s v="Recovery"/>
    <n v="200"/>
    <s v="AHY"/>
    <s v="M"/>
    <n v="9"/>
    <n v="2016"/>
    <n v="2016"/>
    <n v="12"/>
    <x v="0"/>
    <s v="12B"/>
    <x v="12"/>
    <n v="1"/>
    <n v="7"/>
    <x v="0"/>
    <x v="0"/>
  </r>
  <r>
    <n v="9779"/>
    <n v="114824746"/>
    <s v="Recovery"/>
    <n v="200"/>
    <s v="AHY"/>
    <s v="M"/>
    <n v="11"/>
    <n v="2015"/>
    <n v="2015"/>
    <n v="11"/>
    <x v="0"/>
    <s v="11B"/>
    <x v="14"/>
    <n v="1"/>
    <n v="7"/>
    <x v="0"/>
    <x v="0"/>
  </r>
  <r>
    <n v="9781"/>
    <n v="114824748"/>
    <s v="Recovery"/>
    <n v="200"/>
    <s v="AHY"/>
    <s v="M"/>
    <n v="9"/>
    <n v="2015"/>
    <n v="2015"/>
    <n v="11"/>
    <x v="0"/>
    <s v="11B"/>
    <x v="14"/>
    <n v="1"/>
    <n v="7"/>
    <x v="0"/>
    <x v="0"/>
  </r>
  <r>
    <n v="9784"/>
    <n v="114824751"/>
    <s v="Recovery"/>
    <n v="200"/>
    <s v="AHY"/>
    <s v="M"/>
    <n v="1"/>
    <n v="2016"/>
    <n v="2015"/>
    <n v="11"/>
    <x v="0"/>
    <s v="11B"/>
    <x v="14"/>
    <n v="1"/>
    <n v="7"/>
    <x v="0"/>
    <x v="0"/>
  </r>
  <r>
    <n v="9786"/>
    <n v="114824753"/>
    <s v="Recovery"/>
    <n v="200"/>
    <s v="AHY"/>
    <s v="F"/>
    <n v="10"/>
    <n v="2016"/>
    <n v="2016"/>
    <n v="12"/>
    <x v="0"/>
    <s v="12B"/>
    <x v="12"/>
    <n v="1"/>
    <n v="49"/>
    <x v="20"/>
    <x v="1"/>
  </r>
  <r>
    <n v="9787"/>
    <n v="114824754"/>
    <s v="Recovery"/>
    <n v="200"/>
    <s v="AHY"/>
    <s v="F"/>
    <n v="11"/>
    <n v="2015"/>
    <n v="2015"/>
    <n v="11"/>
    <x v="0"/>
    <s v="11B"/>
    <x v="14"/>
    <n v="1"/>
    <n v="7"/>
    <x v="0"/>
    <x v="0"/>
  </r>
  <r>
    <n v="9788"/>
    <n v="114824755"/>
    <s v="Recovery"/>
    <n v="200"/>
    <s v="AHY"/>
    <s v="M"/>
    <n v="1"/>
    <n v="2013"/>
    <n v="2012"/>
    <n v="8"/>
    <x v="0"/>
    <s v="8B"/>
    <x v="3"/>
    <n v="1"/>
    <n v="7"/>
    <x v="0"/>
    <x v="0"/>
  </r>
  <r>
    <n v="9789"/>
    <n v="114824756"/>
    <s v="Recovery"/>
    <n v="200"/>
    <s v="AHY"/>
    <s v="F"/>
    <n v="1"/>
    <n v="2017"/>
    <n v="2016"/>
    <n v="12"/>
    <x v="0"/>
    <s v="12B"/>
    <x v="12"/>
    <n v="1"/>
    <n v="7"/>
    <x v="0"/>
    <x v="0"/>
  </r>
  <r>
    <n v="9790"/>
    <n v="114824757"/>
    <s v="Recovery"/>
    <n v="200"/>
    <s v="AHY"/>
    <s v="M"/>
    <n v="1"/>
    <n v="2013"/>
    <n v="2012"/>
    <n v="8"/>
    <x v="0"/>
    <s v="8B"/>
    <x v="3"/>
    <n v="1"/>
    <n v="7"/>
    <x v="0"/>
    <x v="0"/>
  </r>
  <r>
    <n v="9792"/>
    <n v="114824759"/>
    <s v="Recovery"/>
    <n v="200"/>
    <s v="AHY"/>
    <s v="M"/>
    <n v="9"/>
    <n v="2017"/>
    <n v="2017"/>
    <n v="13"/>
    <x v="0"/>
    <s v="13B"/>
    <x v="13"/>
    <n v="1"/>
    <n v="7"/>
    <x v="0"/>
    <x v="0"/>
  </r>
  <r>
    <n v="9797"/>
    <n v="114824764"/>
    <s v="Recovery"/>
    <n v="200"/>
    <s v="AHY"/>
    <s v="F"/>
    <n v="9"/>
    <n v="2014"/>
    <n v="2014"/>
    <n v="10"/>
    <x v="0"/>
    <s v="10B"/>
    <x v="7"/>
    <n v="1"/>
    <n v="49"/>
    <x v="20"/>
    <x v="1"/>
  </r>
  <r>
    <n v="9803"/>
    <n v="114824770"/>
    <s v="Recovery"/>
    <n v="200"/>
    <s v="AHY"/>
    <s v="F"/>
    <n v="1"/>
    <n v="2018"/>
    <n v="2017"/>
    <n v="13"/>
    <x v="0"/>
    <s v="13B"/>
    <x v="13"/>
    <n v="1"/>
    <n v="7"/>
    <x v="0"/>
    <x v="0"/>
  </r>
  <r>
    <n v="9805"/>
    <n v="114824772"/>
    <s v="Recovery"/>
    <n v="200"/>
    <s v="AHY"/>
    <s v="M"/>
    <n v="1"/>
    <n v="2014"/>
    <n v="2013"/>
    <n v="9"/>
    <x v="0"/>
    <s v="9B"/>
    <x v="4"/>
    <n v="1"/>
    <n v="7"/>
    <x v="0"/>
    <x v="0"/>
  </r>
  <r>
    <n v="9813"/>
    <n v="114824780"/>
    <s v="Recovery"/>
    <n v="200"/>
    <s v="AHY"/>
    <s v="F"/>
    <n v="1"/>
    <n v="2014"/>
    <n v="2013"/>
    <n v="9"/>
    <x v="0"/>
    <s v="9B"/>
    <x v="4"/>
    <n v="1"/>
    <n v="7"/>
    <x v="0"/>
    <x v="0"/>
  </r>
  <r>
    <n v="9815"/>
    <n v="114824782"/>
    <s v="Recovery"/>
    <n v="200"/>
    <s v="AHY"/>
    <s v="F"/>
    <n v="12"/>
    <n v="2012"/>
    <n v="2012"/>
    <n v="8"/>
    <x v="0"/>
    <s v="8B"/>
    <x v="3"/>
    <n v="1"/>
    <n v="7"/>
    <x v="0"/>
    <x v="0"/>
  </r>
  <r>
    <n v="9816"/>
    <n v="114824783"/>
    <s v="Recovery"/>
    <n v="200"/>
    <s v="AHY"/>
    <s v="M"/>
    <n v="1"/>
    <n v="2018"/>
    <n v="2017"/>
    <n v="13"/>
    <x v="0"/>
    <s v="13B"/>
    <x v="13"/>
    <n v="1"/>
    <n v="7"/>
    <x v="0"/>
    <x v="0"/>
  </r>
  <r>
    <n v="9817"/>
    <n v="114824784"/>
    <s v="Recovery"/>
    <n v="200"/>
    <s v="AHY"/>
    <s v="F"/>
    <n v="11"/>
    <n v="2015"/>
    <n v="2015"/>
    <n v="11"/>
    <x v="0"/>
    <s v="11B"/>
    <x v="14"/>
    <n v="1"/>
    <n v="7"/>
    <x v="0"/>
    <x v="0"/>
  </r>
  <r>
    <n v="9818"/>
    <n v="114824785"/>
    <s v="Recovery"/>
    <n v="200"/>
    <s v="AHY"/>
    <s v="F"/>
    <n v="1"/>
    <n v="2013"/>
    <n v="2012"/>
    <n v="8"/>
    <x v="0"/>
    <s v="8B"/>
    <x v="3"/>
    <n v="1"/>
    <n v="7"/>
    <x v="0"/>
    <x v="0"/>
  </r>
  <r>
    <n v="9826"/>
    <n v="114824793"/>
    <s v="Recovery"/>
    <n v="200"/>
    <s v="AHY"/>
    <s v="F"/>
    <n v="12"/>
    <n v="2016"/>
    <n v="2016"/>
    <n v="12"/>
    <x v="0"/>
    <s v="12B"/>
    <x v="12"/>
    <n v="1"/>
    <n v="7"/>
    <x v="0"/>
    <x v="0"/>
  </r>
  <r>
    <n v="9829"/>
    <n v="114824796"/>
    <s v="Recovery"/>
    <n v="200"/>
    <s v="AHY"/>
    <s v="M"/>
    <n v="1"/>
    <n v="2016"/>
    <n v="2015"/>
    <n v="11"/>
    <x v="0"/>
    <s v="11B"/>
    <x v="14"/>
    <n v="1"/>
    <n v="7"/>
    <x v="0"/>
    <x v="0"/>
  </r>
  <r>
    <n v="9831"/>
    <n v="114824798"/>
    <s v="Recovery"/>
    <n v="200"/>
    <s v="AHY"/>
    <s v="F"/>
    <n v="1"/>
    <n v="2013"/>
    <n v="2012"/>
    <n v="8"/>
    <x v="0"/>
    <s v="8B"/>
    <x v="3"/>
    <n v="1"/>
    <n v="7"/>
    <x v="0"/>
    <x v="0"/>
  </r>
  <r>
    <n v="9832"/>
    <n v="114824799"/>
    <s v="Recovery"/>
    <n v="200"/>
    <s v="AHY"/>
    <s v="M"/>
    <n v="9"/>
    <n v="2015"/>
    <n v="2015"/>
    <n v="11"/>
    <x v="0"/>
    <s v="11B"/>
    <x v="14"/>
    <n v="1"/>
    <n v="7"/>
    <x v="0"/>
    <x v="0"/>
  </r>
  <r>
    <n v="9833"/>
    <n v="114824800"/>
    <s v="Recovery"/>
    <n v="200"/>
    <s v="AHY"/>
    <s v="M"/>
    <n v="1"/>
    <n v="2015"/>
    <n v="2014"/>
    <n v="10"/>
    <x v="0"/>
    <s v="10B"/>
    <x v="7"/>
    <n v="1"/>
    <n v="7"/>
    <x v="0"/>
    <x v="0"/>
  </r>
  <r>
    <n v="9834"/>
    <n v="114824801"/>
    <s v="Recovery"/>
    <n v="200"/>
    <s v="AHY"/>
    <s v="F"/>
    <n v="1"/>
    <n v="2015"/>
    <n v="2014"/>
    <n v="10"/>
    <x v="0"/>
    <s v="10B"/>
    <x v="7"/>
    <n v="1"/>
    <n v="7"/>
    <x v="0"/>
    <x v="0"/>
  </r>
  <r>
    <n v="9843"/>
    <n v="114825207"/>
    <s v="Recovery"/>
    <n v="200"/>
    <s v="HY"/>
    <s v="M"/>
    <n v="1"/>
    <n v="2013"/>
    <n v="2012"/>
    <n v="8"/>
    <x v="0"/>
    <s v="8B"/>
    <x v="3"/>
    <n v="1"/>
    <n v="7"/>
    <x v="0"/>
    <x v="0"/>
  </r>
  <r>
    <n v="9855"/>
    <n v="114825219"/>
    <s v="Recovery"/>
    <n v="200"/>
    <s v="AHY"/>
    <s v="F"/>
    <n v="9"/>
    <n v="2012"/>
    <n v="2012"/>
    <n v="8"/>
    <x v="0"/>
    <s v="8B"/>
    <x v="3"/>
    <n v="1"/>
    <n v="7"/>
    <x v="0"/>
    <x v="0"/>
  </r>
  <r>
    <n v="9856"/>
    <n v="114825220"/>
    <s v="Recovery"/>
    <n v="200"/>
    <s v="AHY"/>
    <s v="F"/>
    <n v="11"/>
    <n v="2016"/>
    <n v="2016"/>
    <n v="12"/>
    <x v="0"/>
    <s v="12B"/>
    <x v="12"/>
    <n v="1"/>
    <n v="38"/>
    <x v="7"/>
    <x v="1"/>
  </r>
  <r>
    <n v="9872"/>
    <n v="114825236"/>
    <s v="Recovery"/>
    <n v="200"/>
    <s v="AHY"/>
    <s v="M"/>
    <n v="12"/>
    <n v="2014"/>
    <n v="2014"/>
    <n v="10"/>
    <x v="0"/>
    <s v="10B"/>
    <x v="7"/>
    <n v="1"/>
    <n v="7"/>
    <x v="0"/>
    <x v="0"/>
  </r>
  <r>
    <n v="9878"/>
    <n v="114825242"/>
    <s v="Recovery"/>
    <n v="200"/>
    <s v="AHY"/>
    <s v="F"/>
    <n v="1"/>
    <n v="2013"/>
    <n v="2012"/>
    <n v="8"/>
    <x v="0"/>
    <s v="8B"/>
    <x v="3"/>
    <n v="1"/>
    <n v="7"/>
    <x v="0"/>
    <x v="0"/>
  </r>
  <r>
    <n v="9885"/>
    <n v="114825249"/>
    <s v="Recovery"/>
    <n v="200"/>
    <s v="HY"/>
    <s v="M"/>
    <n v="11"/>
    <n v="2012"/>
    <n v="2012"/>
    <n v="8"/>
    <x v="0"/>
    <s v="8B"/>
    <x v="3"/>
    <n v="1"/>
    <n v="7"/>
    <x v="0"/>
    <x v="0"/>
  </r>
  <r>
    <n v="9889"/>
    <n v="114825253"/>
    <s v="Recovery"/>
    <n v="200"/>
    <s v="HY"/>
    <s v="M"/>
    <n v="12"/>
    <n v="2012"/>
    <n v="2012"/>
    <n v="8"/>
    <x v="0"/>
    <s v="8B"/>
    <x v="3"/>
    <n v="1"/>
    <n v="7"/>
    <x v="0"/>
    <x v="0"/>
  </r>
  <r>
    <n v="9893"/>
    <n v="114825257"/>
    <s v="Recovery"/>
    <n v="200"/>
    <s v="AHY"/>
    <s v="M"/>
    <n v="1"/>
    <n v="2015"/>
    <n v="2014"/>
    <n v="10"/>
    <x v="0"/>
    <s v="10B"/>
    <x v="7"/>
    <n v="1"/>
    <n v="7"/>
    <x v="0"/>
    <x v="0"/>
  </r>
  <r>
    <n v="9894"/>
    <n v="114825258"/>
    <s v="Recovery"/>
    <n v="200"/>
    <s v="AHY"/>
    <s v="F"/>
    <n v="12"/>
    <n v="2014"/>
    <n v="2014"/>
    <n v="10"/>
    <x v="0"/>
    <s v="10B"/>
    <x v="7"/>
    <n v="1"/>
    <n v="7"/>
    <x v="0"/>
    <x v="0"/>
  </r>
  <r>
    <n v="9895"/>
    <n v="114825259"/>
    <s v="Recovery"/>
    <n v="200"/>
    <s v="AHY"/>
    <s v="F"/>
    <n v="1"/>
    <n v="2014"/>
    <n v="2013"/>
    <n v="9"/>
    <x v="0"/>
    <s v="9B"/>
    <x v="4"/>
    <n v="1"/>
    <n v="7"/>
    <x v="0"/>
    <x v="0"/>
  </r>
  <r>
    <n v="9899"/>
    <n v="114825263"/>
    <s v="Recovery"/>
    <n v="200"/>
    <s v="AHY"/>
    <s v="M"/>
    <n v="12"/>
    <n v="2013"/>
    <n v="2013"/>
    <n v="9"/>
    <x v="0"/>
    <s v="9B"/>
    <x v="4"/>
    <n v="1"/>
    <n v="7"/>
    <x v="0"/>
    <x v="0"/>
  </r>
  <r>
    <n v="9900"/>
    <n v="114825264"/>
    <s v="Recovery"/>
    <n v="200"/>
    <s v="AHY"/>
    <s v="F"/>
    <n v="11"/>
    <n v="2012"/>
    <n v="2012"/>
    <n v="8"/>
    <x v="0"/>
    <s v="8B"/>
    <x v="3"/>
    <n v="1"/>
    <n v="7"/>
    <x v="0"/>
    <x v="0"/>
  </r>
  <r>
    <n v="9907"/>
    <n v="114825271"/>
    <s v="Recovery"/>
    <n v="200"/>
    <s v="AHY"/>
    <s v="M"/>
    <n v="9"/>
    <n v="2013"/>
    <n v="2013"/>
    <n v="9"/>
    <x v="0"/>
    <s v="9B"/>
    <x v="4"/>
    <n v="1"/>
    <n v="7"/>
    <x v="0"/>
    <x v="0"/>
  </r>
  <r>
    <n v="9908"/>
    <n v="114825272"/>
    <s v="Recovery"/>
    <n v="200"/>
    <s v="AHY"/>
    <s v="F"/>
    <n v="12"/>
    <n v="2015"/>
    <n v="2015"/>
    <n v="11"/>
    <x v="0"/>
    <s v="11B"/>
    <x v="14"/>
    <n v="1"/>
    <n v="7"/>
    <x v="0"/>
    <x v="0"/>
  </r>
  <r>
    <n v="9909"/>
    <n v="114825273"/>
    <s v="Recovery"/>
    <n v="200"/>
    <s v="HY"/>
    <s v="M"/>
    <n v="12"/>
    <n v="2012"/>
    <n v="2012"/>
    <n v="8"/>
    <x v="0"/>
    <s v="8B"/>
    <x v="3"/>
    <n v="1"/>
    <n v="7"/>
    <x v="0"/>
    <x v="0"/>
  </r>
  <r>
    <n v="9910"/>
    <n v="114825274"/>
    <s v="Recovery"/>
    <n v="200"/>
    <s v="AHY"/>
    <s v="F"/>
    <n v="12"/>
    <n v="2014"/>
    <n v="2014"/>
    <n v="10"/>
    <x v="0"/>
    <s v="10B"/>
    <x v="7"/>
    <n v="1"/>
    <n v="7"/>
    <x v="0"/>
    <x v="0"/>
  </r>
  <r>
    <n v="9913"/>
    <n v="114825277"/>
    <s v="Recovery"/>
    <n v="200"/>
    <s v="AHY"/>
    <s v="F"/>
    <n v="1"/>
    <n v="2014"/>
    <n v="2013"/>
    <n v="9"/>
    <x v="0"/>
    <s v="9B"/>
    <x v="4"/>
    <n v="1"/>
    <n v="7"/>
    <x v="0"/>
    <x v="0"/>
  </r>
  <r>
    <n v="9919"/>
    <n v="114825283"/>
    <s v="Recovery"/>
    <n v="200"/>
    <s v="AHY"/>
    <s v="M"/>
    <n v="12"/>
    <n v="2014"/>
    <n v="2014"/>
    <n v="10"/>
    <x v="0"/>
    <s v="10B"/>
    <x v="7"/>
    <n v="1"/>
    <n v="7"/>
    <x v="0"/>
    <x v="0"/>
  </r>
  <r>
    <n v="9920"/>
    <n v="114825284"/>
    <s v="Recovery"/>
    <n v="200"/>
    <s v="AHY"/>
    <s v="F"/>
    <n v="12"/>
    <n v="2014"/>
    <n v="2014"/>
    <n v="10"/>
    <x v="0"/>
    <s v="10B"/>
    <x v="7"/>
    <n v="1"/>
    <n v="7"/>
    <x v="0"/>
    <x v="0"/>
  </r>
  <r>
    <n v="9926"/>
    <n v="114825290"/>
    <s v="Recovery"/>
    <n v="200"/>
    <s v="AHY"/>
    <s v="M"/>
    <n v="9"/>
    <n v="2013"/>
    <n v="2013"/>
    <n v="9"/>
    <x v="0"/>
    <s v="9B"/>
    <x v="4"/>
    <n v="1"/>
    <n v="7"/>
    <x v="0"/>
    <x v="0"/>
  </r>
  <r>
    <n v="9927"/>
    <n v="114825291"/>
    <s v="Recovery"/>
    <n v="200"/>
    <s v="AHY"/>
    <s v="F"/>
    <n v="12"/>
    <n v="2013"/>
    <n v="2013"/>
    <n v="9"/>
    <x v="0"/>
    <s v="9B"/>
    <x v="4"/>
    <n v="1"/>
    <n v="7"/>
    <x v="0"/>
    <x v="0"/>
  </r>
  <r>
    <n v="9930"/>
    <n v="114825294"/>
    <s v="Recovery"/>
    <n v="200"/>
    <s v="AHY"/>
    <s v="M"/>
    <n v="12"/>
    <n v="2017"/>
    <n v="2017"/>
    <n v="13"/>
    <x v="0"/>
    <s v="13B"/>
    <x v="13"/>
    <n v="1"/>
    <n v="7"/>
    <x v="0"/>
    <x v="0"/>
  </r>
  <r>
    <n v="9932"/>
    <n v="114825296"/>
    <s v="Recovery"/>
    <n v="200"/>
    <s v="AHY"/>
    <s v="F"/>
    <n v="12"/>
    <n v="2013"/>
    <n v="2013"/>
    <n v="9"/>
    <x v="0"/>
    <s v="9B"/>
    <x v="4"/>
    <n v="1"/>
    <n v="7"/>
    <x v="0"/>
    <x v="0"/>
  </r>
  <r>
    <n v="9933"/>
    <n v="114825297"/>
    <s v="Recovery"/>
    <n v="200"/>
    <s v="AHY"/>
    <s v="M"/>
    <n v="12"/>
    <n v="2015"/>
    <n v="2015"/>
    <n v="11"/>
    <x v="0"/>
    <s v="11B"/>
    <x v="14"/>
    <n v="1"/>
    <n v="7"/>
    <x v="0"/>
    <x v="0"/>
  </r>
  <r>
    <n v="9940"/>
    <n v="114825304"/>
    <s v="Recovery"/>
    <n v="200"/>
    <s v="AHY"/>
    <s v="M"/>
    <n v="1"/>
    <n v="2020"/>
    <n v="2019"/>
    <n v="15"/>
    <x v="0"/>
    <s v="15B"/>
    <x v="11"/>
    <n v="1"/>
    <n v="7"/>
    <x v="0"/>
    <x v="0"/>
  </r>
  <r>
    <n v="9941"/>
    <n v="114825305"/>
    <s v="Recovery"/>
    <n v="200"/>
    <s v="AHY"/>
    <s v="F"/>
    <n v="9"/>
    <n v="2014"/>
    <n v="2014"/>
    <n v="10"/>
    <x v="0"/>
    <s v="10B"/>
    <x v="7"/>
    <n v="1"/>
    <n v="7"/>
    <x v="0"/>
    <x v="0"/>
  </r>
  <r>
    <n v="9952"/>
    <n v="114825316"/>
    <s v="Recovery"/>
    <n v="200"/>
    <s v="AHY"/>
    <s v="M"/>
    <n v="9"/>
    <n v="2019"/>
    <n v="2019"/>
    <n v="15"/>
    <x v="0"/>
    <s v="15B"/>
    <x v="11"/>
    <n v="1"/>
    <n v="7"/>
    <x v="0"/>
    <x v="0"/>
  </r>
  <r>
    <n v="9955"/>
    <n v="114825319"/>
    <s v="Recovery"/>
    <n v="200"/>
    <s v="AHY"/>
    <s v="F"/>
    <n v="9"/>
    <n v="2013"/>
    <n v="2013"/>
    <n v="9"/>
    <x v="0"/>
    <s v="9B"/>
    <x v="4"/>
    <n v="1"/>
    <n v="7"/>
    <x v="0"/>
    <x v="0"/>
  </r>
  <r>
    <n v="9958"/>
    <n v="114825322"/>
    <s v="Recovery"/>
    <n v="200"/>
    <s v="AHY"/>
    <s v="F"/>
    <n v="1"/>
    <n v="2013"/>
    <n v="2012"/>
    <n v="8"/>
    <x v="0"/>
    <s v="8B"/>
    <x v="3"/>
    <n v="1"/>
    <n v="7"/>
    <x v="0"/>
    <x v="0"/>
  </r>
  <r>
    <n v="9963"/>
    <n v="114825327"/>
    <s v="Recovery"/>
    <n v="200"/>
    <s v="AHY"/>
    <s v="M"/>
    <n v="9"/>
    <n v="2019"/>
    <n v="2019"/>
    <n v="15"/>
    <x v="0"/>
    <s v="15B"/>
    <x v="11"/>
    <n v="1"/>
    <n v="7"/>
    <x v="0"/>
    <x v="0"/>
  </r>
  <r>
    <n v="9964"/>
    <n v="114825328"/>
    <s v="Recovery"/>
    <n v="200"/>
    <s v="AHY"/>
    <s v="F"/>
    <n v="9"/>
    <n v="2019"/>
    <n v="2019"/>
    <n v="15"/>
    <x v="0"/>
    <s v="15B"/>
    <x v="11"/>
    <n v="1"/>
    <n v="7"/>
    <x v="0"/>
    <x v="0"/>
  </r>
  <r>
    <n v="9966"/>
    <n v="114825330"/>
    <s v="Recovery"/>
    <n v="200"/>
    <s v="AHY"/>
    <s v="M"/>
    <n v="12"/>
    <n v="2016"/>
    <n v="2016"/>
    <n v="12"/>
    <x v="0"/>
    <s v="12B"/>
    <x v="12"/>
    <n v="1"/>
    <n v="7"/>
    <x v="0"/>
    <x v="0"/>
  </r>
  <r>
    <n v="9971"/>
    <n v="114825335"/>
    <s v="Recovery"/>
    <n v="200"/>
    <s v="AHY"/>
    <s v="M"/>
    <n v="11"/>
    <n v="2012"/>
    <n v="2012"/>
    <n v="8"/>
    <x v="0"/>
    <s v="8B"/>
    <x v="3"/>
    <n v="1"/>
    <n v="7"/>
    <x v="0"/>
    <x v="0"/>
  </r>
  <r>
    <n v="9974"/>
    <n v="114825338"/>
    <s v="Recovery"/>
    <n v="200"/>
    <s v="AHY"/>
    <s v="F"/>
    <n v="1"/>
    <n v="2018"/>
    <n v="2017"/>
    <n v="13"/>
    <x v="0"/>
    <s v="13B"/>
    <x v="13"/>
    <n v="1"/>
    <n v="83"/>
    <x v="18"/>
    <x v="1"/>
  </r>
  <r>
    <n v="9981"/>
    <n v="114825345"/>
    <s v="Recovery"/>
    <n v="200"/>
    <s v="AHY"/>
    <s v="F"/>
    <n v="1"/>
    <n v="2015"/>
    <n v="2014"/>
    <n v="10"/>
    <x v="0"/>
    <s v="10B"/>
    <x v="7"/>
    <n v="1"/>
    <n v="7"/>
    <x v="0"/>
    <x v="0"/>
  </r>
  <r>
    <n v="9984"/>
    <n v="114825348"/>
    <s v="Recovery"/>
    <n v="200"/>
    <s v="AHY"/>
    <s v="F"/>
    <n v="12"/>
    <n v="2013"/>
    <n v="2013"/>
    <n v="9"/>
    <x v="0"/>
    <s v="9B"/>
    <x v="4"/>
    <n v="1"/>
    <n v="7"/>
    <x v="0"/>
    <x v="0"/>
  </r>
  <r>
    <n v="9989"/>
    <n v="114825353"/>
    <s v="Recovery"/>
    <n v="200"/>
    <s v="AHY"/>
    <s v="F"/>
    <n v="1"/>
    <n v="2013"/>
    <n v="2012"/>
    <n v="8"/>
    <x v="0"/>
    <s v="8B"/>
    <x v="3"/>
    <n v="1"/>
    <n v="7"/>
    <x v="0"/>
    <x v="0"/>
  </r>
  <r>
    <n v="9990"/>
    <n v="114825354"/>
    <s v="Recovery"/>
    <n v="200"/>
    <s v="AHY"/>
    <s v="M"/>
    <n v="1"/>
    <n v="2014"/>
    <n v="2013"/>
    <n v="9"/>
    <x v="0"/>
    <s v="9B"/>
    <x v="4"/>
    <n v="1"/>
    <n v="7"/>
    <x v="0"/>
    <x v="0"/>
  </r>
  <r>
    <n v="9991"/>
    <n v="114825355"/>
    <s v="Recovery"/>
    <n v="200"/>
    <s v="AHY"/>
    <s v="M"/>
    <n v="12"/>
    <n v="2017"/>
    <n v="2017"/>
    <n v="13"/>
    <x v="0"/>
    <s v="13B"/>
    <x v="13"/>
    <n v="1"/>
    <n v="7"/>
    <x v="0"/>
    <x v="0"/>
  </r>
  <r>
    <n v="10030"/>
    <n v="114825434"/>
    <s v="Recovery"/>
    <n v="200"/>
    <s v="AHY"/>
    <s v="M"/>
    <n v="9"/>
    <n v="2012"/>
    <n v="2012"/>
    <n v="8"/>
    <x v="0"/>
    <s v="8B"/>
    <x v="3"/>
    <n v="1"/>
    <n v="7"/>
    <x v="0"/>
    <x v="0"/>
  </r>
  <r>
    <n v="10031"/>
    <n v="114825435"/>
    <s v="Recovery"/>
    <n v="200"/>
    <s v="AHY"/>
    <s v="M"/>
    <n v="1"/>
    <n v="2020"/>
    <n v="2019"/>
    <n v="15"/>
    <x v="0"/>
    <s v="15B"/>
    <x v="11"/>
    <n v="1"/>
    <n v="7"/>
    <x v="0"/>
    <x v="0"/>
  </r>
  <r>
    <n v="10036"/>
    <n v="114825440"/>
    <s v="Recovery"/>
    <n v="200"/>
    <s v="AHY"/>
    <s v="M"/>
    <n v="1"/>
    <n v="2017"/>
    <n v="2016"/>
    <n v="12"/>
    <x v="0"/>
    <s v="12B"/>
    <x v="12"/>
    <n v="1"/>
    <n v="7"/>
    <x v="0"/>
    <x v="0"/>
  </r>
  <r>
    <n v="10047"/>
    <n v="114825451"/>
    <s v="Recovery"/>
    <n v="200"/>
    <s v="AHY"/>
    <s v="F"/>
    <n v="11"/>
    <n v="2013"/>
    <n v="2013"/>
    <n v="9"/>
    <x v="0"/>
    <s v="9B"/>
    <x v="4"/>
    <n v="1"/>
    <n v="7"/>
    <x v="0"/>
    <x v="0"/>
  </r>
  <r>
    <n v="10048"/>
    <n v="114825452"/>
    <s v="Recovery"/>
    <n v="200"/>
    <s v="AHY"/>
    <s v="F"/>
    <n v="11"/>
    <n v="2018"/>
    <n v="2018"/>
    <n v="14"/>
    <x v="0"/>
    <s v="14B"/>
    <x v="10"/>
    <n v="1"/>
    <n v="7"/>
    <x v="0"/>
    <x v="0"/>
  </r>
  <r>
    <n v="10060"/>
    <n v="114825464"/>
    <s v="Recovery"/>
    <n v="200"/>
    <s v="HY"/>
    <s v="F"/>
    <n v="1"/>
    <n v="2013"/>
    <n v="2012"/>
    <n v="8"/>
    <x v="0"/>
    <s v="8B"/>
    <x v="3"/>
    <n v="1"/>
    <n v="7"/>
    <x v="0"/>
    <x v="0"/>
  </r>
  <r>
    <n v="10082"/>
    <n v="114825486"/>
    <s v="Recovery"/>
    <n v="200"/>
    <s v="AHY"/>
    <s v="F"/>
    <n v="1"/>
    <n v="2013"/>
    <n v="2012"/>
    <n v="8"/>
    <x v="0"/>
    <s v="8B"/>
    <x v="3"/>
    <n v="1"/>
    <n v="7"/>
    <x v="0"/>
    <x v="0"/>
  </r>
  <r>
    <n v="10095"/>
    <n v="114825499"/>
    <s v="Recovery"/>
    <n v="200"/>
    <s v="AHY"/>
    <s v="F"/>
    <n v="9"/>
    <n v="2014"/>
    <n v="2014"/>
    <n v="10"/>
    <x v="0"/>
    <s v="10B"/>
    <x v="7"/>
    <n v="1"/>
    <n v="7"/>
    <x v="0"/>
    <x v="0"/>
  </r>
  <r>
    <n v="10096"/>
    <n v="114825500"/>
    <s v="Recovery"/>
    <n v="200"/>
    <s v="AHY"/>
    <s v="M"/>
    <n v="12"/>
    <n v="2015"/>
    <n v="2015"/>
    <n v="11"/>
    <x v="0"/>
    <s v="11B"/>
    <x v="14"/>
    <n v="1"/>
    <n v="7"/>
    <x v="0"/>
    <x v="0"/>
  </r>
  <r>
    <n v="10099"/>
    <n v="114824806"/>
    <s v="Recovery"/>
    <n v="200"/>
    <s v="AHY"/>
    <s v="F"/>
    <n v="12"/>
    <n v="2020"/>
    <n v="2020"/>
    <n v="16"/>
    <x v="0"/>
    <s v="16B"/>
    <x v="15"/>
    <n v="1"/>
    <n v="7"/>
    <x v="0"/>
    <x v="0"/>
  </r>
  <r>
    <n v="10100"/>
    <n v="114824807"/>
    <s v="Recovery"/>
    <n v="200"/>
    <s v="AHY"/>
    <s v="F"/>
    <n v="9"/>
    <n v="2014"/>
    <n v="2014"/>
    <n v="10"/>
    <x v="0"/>
    <s v="10B"/>
    <x v="7"/>
    <n v="1"/>
    <n v="7"/>
    <x v="0"/>
    <x v="0"/>
  </r>
  <r>
    <n v="10102"/>
    <n v="114824809"/>
    <s v="Recovery"/>
    <n v="200"/>
    <s v="AHY"/>
    <s v="F"/>
    <n v="1"/>
    <n v="2013"/>
    <n v="2012"/>
    <n v="8"/>
    <x v="0"/>
    <s v="8B"/>
    <x v="3"/>
    <n v="1"/>
    <n v="52"/>
    <x v="11"/>
    <x v="1"/>
  </r>
  <r>
    <n v="10107"/>
    <n v="114824814"/>
    <s v="Recovery"/>
    <n v="200"/>
    <s v="AHY"/>
    <s v="M"/>
    <n v="9"/>
    <n v="2019"/>
    <n v="2019"/>
    <n v="15"/>
    <x v="0"/>
    <s v="15B"/>
    <x v="11"/>
    <n v="1"/>
    <n v="7"/>
    <x v="0"/>
    <x v="0"/>
  </r>
  <r>
    <n v="10115"/>
    <n v="114824822"/>
    <s v="Recovery"/>
    <n v="200"/>
    <s v="AHY"/>
    <s v="M"/>
    <n v="1"/>
    <n v="2013"/>
    <n v="2012"/>
    <n v="8"/>
    <x v="0"/>
    <s v="8B"/>
    <x v="3"/>
    <n v="1"/>
    <n v="7"/>
    <x v="0"/>
    <x v="0"/>
  </r>
  <r>
    <n v="10118"/>
    <n v="114824825"/>
    <s v="Recovery"/>
    <n v="200"/>
    <s v="AHY"/>
    <s v="F"/>
    <n v="1"/>
    <n v="2018"/>
    <n v="2017"/>
    <n v="13"/>
    <x v="0"/>
    <s v="13B"/>
    <x v="13"/>
    <n v="1"/>
    <n v="7"/>
    <x v="0"/>
    <x v="0"/>
  </r>
  <r>
    <n v="10123"/>
    <n v="114824830"/>
    <s v="Recovery"/>
    <n v="200"/>
    <s v="AHY"/>
    <s v="F"/>
    <n v="9"/>
    <n v="2013"/>
    <n v="2013"/>
    <n v="9"/>
    <x v="0"/>
    <s v="9B"/>
    <x v="4"/>
    <n v="1"/>
    <n v="7"/>
    <x v="0"/>
    <x v="0"/>
  </r>
  <r>
    <n v="10125"/>
    <n v="114824832"/>
    <s v="Recovery"/>
    <n v="200"/>
    <s v="AHY"/>
    <s v="M"/>
    <n v="1"/>
    <n v="2014"/>
    <n v="2013"/>
    <n v="9"/>
    <x v="0"/>
    <s v="9B"/>
    <x v="4"/>
    <n v="1"/>
    <n v="7"/>
    <x v="0"/>
    <x v="0"/>
  </r>
  <r>
    <n v="10127"/>
    <n v="114824834"/>
    <s v="Recovery"/>
    <n v="200"/>
    <s v="AHY"/>
    <s v="F"/>
    <n v="1"/>
    <n v="2013"/>
    <n v="2012"/>
    <n v="8"/>
    <x v="0"/>
    <s v="8B"/>
    <x v="3"/>
    <n v="1"/>
    <n v="7"/>
    <x v="0"/>
    <x v="0"/>
  </r>
  <r>
    <n v="10128"/>
    <n v="114824835"/>
    <s v="Recovery"/>
    <n v="200"/>
    <s v="AHY"/>
    <s v="M"/>
    <n v="12"/>
    <n v="2019"/>
    <n v="2019"/>
    <n v="15"/>
    <x v="0"/>
    <s v="15B"/>
    <x v="11"/>
    <n v="1"/>
    <n v="7"/>
    <x v="0"/>
    <x v="0"/>
  </r>
  <r>
    <n v="10130"/>
    <n v="114824837"/>
    <s v="Recovery"/>
    <n v="200"/>
    <s v="AHY"/>
    <s v="F"/>
    <n v="1"/>
    <n v="2013"/>
    <n v="2012"/>
    <n v="8"/>
    <x v="0"/>
    <s v="8B"/>
    <x v="3"/>
    <n v="1"/>
    <n v="7"/>
    <x v="0"/>
    <x v="0"/>
  </r>
  <r>
    <n v="10132"/>
    <n v="114824839"/>
    <s v="Recovery"/>
    <n v="200"/>
    <s v="AHY"/>
    <s v="M"/>
    <n v="1"/>
    <n v="2013"/>
    <n v="2012"/>
    <n v="8"/>
    <x v="0"/>
    <s v="8B"/>
    <x v="3"/>
    <n v="1"/>
    <n v="7"/>
    <x v="0"/>
    <x v="0"/>
  </r>
  <r>
    <n v="10133"/>
    <n v="114824840"/>
    <s v="Recovery"/>
    <n v="200"/>
    <s v="AHY"/>
    <s v="M"/>
    <n v="12"/>
    <n v="2012"/>
    <n v="2012"/>
    <n v="8"/>
    <x v="0"/>
    <s v="8B"/>
    <x v="3"/>
    <n v="1"/>
    <n v="7"/>
    <x v="0"/>
    <x v="0"/>
  </r>
  <r>
    <n v="10137"/>
    <n v="114824844"/>
    <s v="Recovery"/>
    <n v="200"/>
    <s v="AHY"/>
    <s v="M"/>
    <n v="9"/>
    <n v="2016"/>
    <n v="2016"/>
    <n v="12"/>
    <x v="0"/>
    <s v="12B"/>
    <x v="12"/>
    <n v="1"/>
    <n v="7"/>
    <x v="0"/>
    <x v="0"/>
  </r>
  <r>
    <n v="10138"/>
    <n v="114824845"/>
    <s v="Recovery"/>
    <n v="200"/>
    <s v="AHY"/>
    <s v="F"/>
    <n v="9"/>
    <n v="2019"/>
    <n v="2019"/>
    <n v="15"/>
    <x v="0"/>
    <s v="15B"/>
    <x v="11"/>
    <n v="1"/>
    <n v="7"/>
    <x v="0"/>
    <x v="0"/>
  </r>
  <r>
    <n v="10139"/>
    <n v="114824846"/>
    <s v="Recovery"/>
    <n v="200"/>
    <s v="AHY"/>
    <s v="F"/>
    <n v="9"/>
    <n v="2016"/>
    <n v="2016"/>
    <n v="12"/>
    <x v="0"/>
    <s v="12B"/>
    <x v="12"/>
    <n v="1"/>
    <n v="7"/>
    <x v="0"/>
    <x v="0"/>
  </r>
  <r>
    <n v="10140"/>
    <n v="114824847"/>
    <s v="Recovery"/>
    <n v="200"/>
    <s v="AHY"/>
    <s v="F"/>
    <n v="1"/>
    <n v="2020"/>
    <n v="2019"/>
    <n v="15"/>
    <x v="0"/>
    <s v="15B"/>
    <x v="11"/>
    <n v="1"/>
    <n v="52"/>
    <x v="11"/>
    <x v="1"/>
  </r>
  <r>
    <n v="10145"/>
    <n v="114824852"/>
    <s v="Recovery"/>
    <n v="200"/>
    <s v="AHY"/>
    <s v="M"/>
    <n v="1"/>
    <n v="2017"/>
    <n v="2016"/>
    <n v="12"/>
    <x v="0"/>
    <s v="12B"/>
    <x v="12"/>
    <n v="1"/>
    <n v="7"/>
    <x v="0"/>
    <x v="0"/>
  </r>
  <r>
    <n v="10146"/>
    <n v="114824853"/>
    <s v="Recovery"/>
    <n v="200"/>
    <s v="AHY"/>
    <s v="M"/>
    <n v="9"/>
    <n v="2012"/>
    <n v="2012"/>
    <n v="8"/>
    <x v="0"/>
    <s v="8B"/>
    <x v="3"/>
    <n v="1"/>
    <n v="7"/>
    <x v="0"/>
    <x v="0"/>
  </r>
  <r>
    <n v="10147"/>
    <n v="114824854"/>
    <s v="Recovery"/>
    <n v="200"/>
    <s v="AHY"/>
    <s v="F"/>
    <n v="12"/>
    <n v="2012"/>
    <n v="2012"/>
    <n v="8"/>
    <x v="0"/>
    <s v="8B"/>
    <x v="3"/>
    <n v="1"/>
    <n v="82"/>
    <x v="15"/>
    <x v="1"/>
  </r>
  <r>
    <n v="10148"/>
    <n v="114824855"/>
    <s v="Recovery"/>
    <n v="200"/>
    <s v="AHY"/>
    <s v="M"/>
    <n v="9"/>
    <n v="2016"/>
    <n v="2016"/>
    <n v="12"/>
    <x v="0"/>
    <s v="12B"/>
    <x v="12"/>
    <n v="1"/>
    <n v="7"/>
    <x v="0"/>
    <x v="0"/>
  </r>
  <r>
    <n v="10150"/>
    <n v="114824857"/>
    <s v="Recovery"/>
    <n v="200"/>
    <s v="AHY"/>
    <s v="F"/>
    <n v="12"/>
    <n v="2012"/>
    <n v="2012"/>
    <n v="8"/>
    <x v="0"/>
    <s v="8B"/>
    <x v="3"/>
    <n v="1"/>
    <n v="7"/>
    <x v="0"/>
    <x v="0"/>
  </r>
  <r>
    <n v="10151"/>
    <n v="114824858"/>
    <s v="Recovery"/>
    <n v="200"/>
    <s v="AHY"/>
    <s v="F"/>
    <n v="1"/>
    <n v="2013"/>
    <n v="2012"/>
    <n v="8"/>
    <x v="0"/>
    <s v="8B"/>
    <x v="3"/>
    <n v="1"/>
    <n v="7"/>
    <x v="0"/>
    <x v="0"/>
  </r>
  <r>
    <n v="10152"/>
    <n v="114824859"/>
    <s v="Recovery"/>
    <n v="200"/>
    <s v="AHY"/>
    <s v="M"/>
    <n v="1"/>
    <n v="2018"/>
    <n v="2017"/>
    <n v="13"/>
    <x v="0"/>
    <s v="13B"/>
    <x v="13"/>
    <n v="1"/>
    <n v="7"/>
    <x v="0"/>
    <x v="0"/>
  </r>
  <r>
    <n v="10158"/>
    <n v="114824865"/>
    <s v="Recovery"/>
    <n v="200"/>
    <s v="AHY"/>
    <s v="M"/>
    <n v="1"/>
    <n v="2013"/>
    <n v="2012"/>
    <n v="8"/>
    <x v="0"/>
    <s v="8B"/>
    <x v="3"/>
    <n v="1"/>
    <n v="7"/>
    <x v="0"/>
    <x v="0"/>
  </r>
  <r>
    <n v="10160"/>
    <n v="114824867"/>
    <s v="Recovery"/>
    <n v="200"/>
    <s v="AHY"/>
    <s v="F"/>
    <n v="9"/>
    <n v="2012"/>
    <n v="2012"/>
    <n v="8"/>
    <x v="0"/>
    <s v="8B"/>
    <x v="3"/>
    <n v="1"/>
    <n v="7"/>
    <x v="0"/>
    <x v="0"/>
  </r>
  <r>
    <n v="10162"/>
    <n v="114824869"/>
    <s v="Recovery"/>
    <n v="200"/>
    <s v="AHY"/>
    <s v="F"/>
    <n v="1"/>
    <n v="2014"/>
    <n v="2013"/>
    <n v="9"/>
    <x v="0"/>
    <s v="9B"/>
    <x v="4"/>
    <n v="1"/>
    <n v="7"/>
    <x v="0"/>
    <x v="0"/>
  </r>
  <r>
    <n v="10163"/>
    <n v="114824870"/>
    <s v="Recovery"/>
    <n v="200"/>
    <s v="AHY"/>
    <s v="F"/>
    <n v="12"/>
    <n v="2014"/>
    <n v="2014"/>
    <n v="10"/>
    <x v="0"/>
    <s v="10B"/>
    <x v="7"/>
    <n v="1"/>
    <n v="52"/>
    <x v="11"/>
    <x v="1"/>
  </r>
  <r>
    <n v="10164"/>
    <n v="114824871"/>
    <s v="Recovery"/>
    <n v="200"/>
    <s v="AHY"/>
    <s v="M"/>
    <n v="1"/>
    <n v="2021"/>
    <n v="2020"/>
    <n v="16"/>
    <x v="0"/>
    <s v="16B"/>
    <x v="15"/>
    <n v="1"/>
    <n v="7"/>
    <x v="0"/>
    <x v="0"/>
  </r>
  <r>
    <n v="10167"/>
    <n v="114824874"/>
    <s v="Recovery"/>
    <n v="200"/>
    <s v="AHY"/>
    <s v="F"/>
    <n v="1"/>
    <n v="2016"/>
    <n v="2015"/>
    <n v="11"/>
    <x v="0"/>
    <s v="11B"/>
    <x v="14"/>
    <n v="1"/>
    <n v="7"/>
    <x v="0"/>
    <x v="0"/>
  </r>
  <r>
    <n v="10171"/>
    <n v="114824878"/>
    <s v="Recovery"/>
    <n v="200"/>
    <s v="AHY"/>
    <s v="M"/>
    <n v="1"/>
    <n v="2013"/>
    <n v="2012"/>
    <n v="8"/>
    <x v="0"/>
    <s v="8B"/>
    <x v="3"/>
    <n v="1"/>
    <n v="7"/>
    <x v="0"/>
    <x v="0"/>
  </r>
  <r>
    <n v="10175"/>
    <n v="114824882"/>
    <s v="Recovery"/>
    <n v="200"/>
    <s v="AHY"/>
    <s v="F"/>
    <n v="1"/>
    <n v="2015"/>
    <n v="2014"/>
    <n v="10"/>
    <x v="0"/>
    <s v="10B"/>
    <x v="7"/>
    <n v="1"/>
    <n v="52"/>
    <x v="11"/>
    <x v="1"/>
  </r>
  <r>
    <n v="10179"/>
    <n v="114824886"/>
    <s v="Recovery"/>
    <n v="200"/>
    <s v="AHY"/>
    <s v="F"/>
    <n v="12"/>
    <n v="2012"/>
    <n v="2012"/>
    <n v="8"/>
    <x v="0"/>
    <s v="8B"/>
    <x v="3"/>
    <n v="1"/>
    <n v="7"/>
    <x v="0"/>
    <x v="0"/>
  </r>
  <r>
    <n v="10181"/>
    <n v="114824888"/>
    <s v="Recovery"/>
    <n v="200"/>
    <s v="AHY"/>
    <s v="F"/>
    <n v="12"/>
    <n v="2018"/>
    <n v="2018"/>
    <n v="14"/>
    <x v="0"/>
    <s v="14B"/>
    <x v="10"/>
    <n v="1"/>
    <n v="7"/>
    <x v="0"/>
    <x v="0"/>
  </r>
  <r>
    <n v="10182"/>
    <n v="114824889"/>
    <s v="Recovery"/>
    <n v="200"/>
    <s v="AHY"/>
    <s v="M"/>
    <n v="9"/>
    <n v="2016"/>
    <n v="2016"/>
    <n v="12"/>
    <x v="0"/>
    <s v="12B"/>
    <x v="12"/>
    <n v="1"/>
    <n v="7"/>
    <x v="0"/>
    <x v="0"/>
  </r>
  <r>
    <n v="10184"/>
    <n v="114824891"/>
    <s v="Recovery"/>
    <n v="200"/>
    <s v="AHY"/>
    <s v="M"/>
    <n v="1"/>
    <n v="2020"/>
    <n v="2019"/>
    <n v="15"/>
    <x v="0"/>
    <s v="15B"/>
    <x v="11"/>
    <n v="1"/>
    <n v="52"/>
    <x v="11"/>
    <x v="1"/>
  </r>
  <r>
    <n v="10186"/>
    <n v="114824893"/>
    <s v="Recovery"/>
    <n v="200"/>
    <s v="AHY"/>
    <s v="F"/>
    <n v="9"/>
    <n v="2013"/>
    <n v="2013"/>
    <n v="9"/>
    <x v="0"/>
    <s v="9B"/>
    <x v="4"/>
    <n v="1"/>
    <n v="7"/>
    <x v="0"/>
    <x v="0"/>
  </r>
  <r>
    <n v="10188"/>
    <n v="114824895"/>
    <s v="Recovery"/>
    <n v="200"/>
    <s v="AHY"/>
    <s v="F"/>
    <n v="1"/>
    <n v="2015"/>
    <n v="2014"/>
    <n v="10"/>
    <x v="0"/>
    <s v="10B"/>
    <x v="7"/>
    <n v="1"/>
    <n v="7"/>
    <x v="0"/>
    <x v="0"/>
  </r>
  <r>
    <n v="10189"/>
    <n v="114824896"/>
    <s v="Recovery"/>
    <n v="200"/>
    <s v="AHY"/>
    <s v="F"/>
    <n v="9"/>
    <n v="2018"/>
    <n v="2018"/>
    <n v="14"/>
    <x v="0"/>
    <s v="14B"/>
    <x v="10"/>
    <n v="1"/>
    <n v="7"/>
    <x v="0"/>
    <x v="0"/>
  </r>
  <r>
    <n v="10190"/>
    <n v="114824897"/>
    <s v="Recovery"/>
    <n v="200"/>
    <s v="AHY"/>
    <s v="F"/>
    <n v="9"/>
    <n v="2018"/>
    <n v="2018"/>
    <n v="14"/>
    <x v="0"/>
    <s v="14B"/>
    <x v="10"/>
    <n v="1"/>
    <n v="7"/>
    <x v="0"/>
    <x v="0"/>
  </r>
  <r>
    <n v="10192"/>
    <n v="114824899"/>
    <s v="Recovery"/>
    <n v="200"/>
    <s v="AHY"/>
    <s v="M"/>
    <n v="11"/>
    <n v="2014"/>
    <n v="2014"/>
    <n v="10"/>
    <x v="0"/>
    <s v="10B"/>
    <x v="7"/>
    <n v="1"/>
    <n v="7"/>
    <x v="0"/>
    <x v="0"/>
  </r>
  <r>
    <n v="10195"/>
    <n v="114824902"/>
    <s v="Recovery"/>
    <n v="200"/>
    <s v="AHY"/>
    <s v="F"/>
    <n v="12"/>
    <n v="2012"/>
    <n v="2012"/>
    <n v="8"/>
    <x v="0"/>
    <s v="8B"/>
    <x v="3"/>
    <n v="1"/>
    <n v="7"/>
    <x v="0"/>
    <x v="0"/>
  </r>
  <r>
    <n v="10197"/>
    <n v="114824904"/>
    <s v="Recovery"/>
    <n v="200"/>
    <s v="AHY"/>
    <s v="F"/>
    <n v="12"/>
    <n v="2012"/>
    <n v="2012"/>
    <n v="8"/>
    <x v="0"/>
    <s v="8B"/>
    <x v="3"/>
    <n v="1"/>
    <n v="7"/>
    <x v="0"/>
    <x v="0"/>
  </r>
  <r>
    <n v="10200"/>
    <n v="114824907"/>
    <s v="Recovery"/>
    <n v="200"/>
    <s v="AHY"/>
    <s v="F"/>
    <n v="9"/>
    <n v="2013"/>
    <n v="2013"/>
    <n v="9"/>
    <x v="0"/>
    <s v="9B"/>
    <x v="4"/>
    <n v="1"/>
    <n v="7"/>
    <x v="0"/>
    <x v="0"/>
  </r>
  <r>
    <n v="10203"/>
    <n v="114824910"/>
    <s v="Recovery"/>
    <n v="200"/>
    <s v="AHY"/>
    <s v="M"/>
    <n v="1"/>
    <n v="2015"/>
    <n v="2014"/>
    <n v="10"/>
    <x v="0"/>
    <s v="10B"/>
    <x v="7"/>
    <n v="1"/>
    <n v="52"/>
    <x v="11"/>
    <x v="1"/>
  </r>
  <r>
    <n v="10204"/>
    <n v="114824911"/>
    <s v="Recovery"/>
    <n v="200"/>
    <s v="AHY"/>
    <s v="F"/>
    <n v="1"/>
    <n v="2014"/>
    <n v="2013"/>
    <n v="9"/>
    <x v="0"/>
    <s v="9B"/>
    <x v="4"/>
    <n v="1"/>
    <n v="7"/>
    <x v="0"/>
    <x v="0"/>
  </r>
  <r>
    <n v="10208"/>
    <n v="114824915"/>
    <s v="Recovery"/>
    <n v="200"/>
    <s v="AHY"/>
    <s v="F"/>
    <n v="1"/>
    <n v="2013"/>
    <n v="2012"/>
    <n v="8"/>
    <x v="0"/>
    <s v="8B"/>
    <x v="3"/>
    <n v="1"/>
    <n v="7"/>
    <x v="0"/>
    <x v="0"/>
  </r>
  <r>
    <n v="10209"/>
    <n v="114824916"/>
    <s v="Recovery"/>
    <n v="200"/>
    <s v="AHY"/>
    <s v="M"/>
    <n v="12"/>
    <n v="2015"/>
    <n v="2015"/>
    <n v="11"/>
    <x v="0"/>
    <s v="11B"/>
    <x v="14"/>
    <n v="1"/>
    <n v="52"/>
    <x v="11"/>
    <x v="1"/>
  </r>
  <r>
    <n v="10211"/>
    <n v="114824918"/>
    <s v="Recovery"/>
    <n v="200"/>
    <s v="AHY"/>
    <s v="M"/>
    <n v="1"/>
    <n v="2013"/>
    <n v="2012"/>
    <n v="8"/>
    <x v="0"/>
    <s v="8B"/>
    <x v="3"/>
    <n v="1"/>
    <n v="7"/>
    <x v="0"/>
    <x v="0"/>
  </r>
  <r>
    <n v="10215"/>
    <n v="114824922"/>
    <s v="Recovery"/>
    <n v="200"/>
    <s v="AHY"/>
    <s v="F"/>
    <n v="9"/>
    <n v="2018"/>
    <n v="2018"/>
    <n v="14"/>
    <x v="0"/>
    <s v="14B"/>
    <x v="10"/>
    <n v="1"/>
    <n v="7"/>
    <x v="0"/>
    <x v="0"/>
  </r>
  <r>
    <n v="10219"/>
    <n v="114824926"/>
    <s v="Recovery"/>
    <n v="200"/>
    <s v="AHY"/>
    <s v="F"/>
    <n v="9"/>
    <n v="2013"/>
    <n v="2013"/>
    <n v="9"/>
    <x v="0"/>
    <s v="9B"/>
    <x v="4"/>
    <n v="1"/>
    <n v="7"/>
    <x v="0"/>
    <x v="0"/>
  </r>
  <r>
    <n v="10224"/>
    <n v="114824931"/>
    <s v="Recovery"/>
    <n v="200"/>
    <s v="AHY"/>
    <s v="F"/>
    <n v="9"/>
    <n v="2013"/>
    <n v="2013"/>
    <n v="9"/>
    <x v="0"/>
    <s v="9B"/>
    <x v="4"/>
    <n v="1"/>
    <n v="7"/>
    <x v="0"/>
    <x v="0"/>
  </r>
  <r>
    <n v="10232"/>
    <n v="114824939"/>
    <s v="Recovery"/>
    <n v="200"/>
    <s v="AHY"/>
    <s v="F"/>
    <n v="1"/>
    <n v="2014"/>
    <n v="2013"/>
    <n v="9"/>
    <x v="0"/>
    <s v="9B"/>
    <x v="4"/>
    <n v="1"/>
    <n v="7"/>
    <x v="0"/>
    <x v="0"/>
  </r>
  <r>
    <n v="10233"/>
    <n v="114824940"/>
    <s v="Recovery"/>
    <n v="200"/>
    <s v="AHY"/>
    <s v="M"/>
    <n v="1"/>
    <n v="2016"/>
    <n v="2015"/>
    <n v="11"/>
    <x v="0"/>
    <s v="11B"/>
    <x v="14"/>
    <n v="1"/>
    <n v="7"/>
    <x v="0"/>
    <x v="0"/>
  </r>
  <r>
    <n v="10234"/>
    <n v="114824941"/>
    <s v="Recovery"/>
    <n v="200"/>
    <s v="AHY"/>
    <s v="F"/>
    <n v="9"/>
    <n v="2015"/>
    <n v="2015"/>
    <n v="11"/>
    <x v="0"/>
    <s v="11B"/>
    <x v="14"/>
    <n v="1"/>
    <n v="7"/>
    <x v="0"/>
    <x v="0"/>
  </r>
  <r>
    <n v="10238"/>
    <n v="114824945"/>
    <s v="Recovery"/>
    <n v="200"/>
    <s v="AHY"/>
    <s v="M"/>
    <n v="11"/>
    <n v="2013"/>
    <n v="2013"/>
    <n v="9"/>
    <x v="0"/>
    <s v="9B"/>
    <x v="4"/>
    <n v="1"/>
    <n v="7"/>
    <x v="0"/>
    <x v="0"/>
  </r>
  <r>
    <n v="10241"/>
    <n v="114824948"/>
    <s v="Recovery"/>
    <n v="200"/>
    <s v="AHY"/>
    <s v="M"/>
    <n v="1"/>
    <n v="2013"/>
    <n v="2012"/>
    <n v="8"/>
    <x v="0"/>
    <s v="8B"/>
    <x v="3"/>
    <n v="1"/>
    <n v="7"/>
    <x v="0"/>
    <x v="0"/>
  </r>
  <r>
    <n v="10247"/>
    <n v="114824954"/>
    <s v="Recovery"/>
    <n v="200"/>
    <s v="AHY"/>
    <s v="M"/>
    <n v="1"/>
    <n v="2013"/>
    <n v="2012"/>
    <n v="8"/>
    <x v="0"/>
    <s v="8B"/>
    <x v="3"/>
    <n v="1"/>
    <n v="7"/>
    <x v="0"/>
    <x v="0"/>
  </r>
  <r>
    <n v="10253"/>
    <n v="114824960"/>
    <s v="Recovery"/>
    <n v="200"/>
    <s v="AHY"/>
    <s v="F"/>
    <n v="12"/>
    <n v="2012"/>
    <n v="2012"/>
    <n v="8"/>
    <x v="0"/>
    <s v="8B"/>
    <x v="3"/>
    <n v="1"/>
    <n v="7"/>
    <x v="0"/>
    <x v="0"/>
  </r>
  <r>
    <n v="10254"/>
    <n v="114824961"/>
    <s v="Recovery"/>
    <n v="200"/>
    <s v="AHY"/>
    <s v="M"/>
    <n v="1"/>
    <n v="2019"/>
    <n v="2018"/>
    <n v="14"/>
    <x v="0"/>
    <s v="14B"/>
    <x v="10"/>
    <n v="1"/>
    <n v="7"/>
    <x v="0"/>
    <x v="0"/>
  </r>
  <r>
    <n v="10257"/>
    <n v="114824964"/>
    <s v="Recovery"/>
    <n v="200"/>
    <s v="AHY"/>
    <s v="M"/>
    <n v="9"/>
    <n v="2016"/>
    <n v="2016"/>
    <n v="12"/>
    <x v="0"/>
    <s v="12B"/>
    <x v="12"/>
    <n v="1"/>
    <n v="7"/>
    <x v="0"/>
    <x v="0"/>
  </r>
  <r>
    <n v="10258"/>
    <n v="114824965"/>
    <s v="Recovery"/>
    <n v="200"/>
    <s v="AHY"/>
    <s v="F"/>
    <n v="1"/>
    <n v="2018"/>
    <n v="2017"/>
    <n v="13"/>
    <x v="0"/>
    <s v="13B"/>
    <x v="13"/>
    <n v="1"/>
    <n v="52"/>
    <x v="11"/>
    <x v="1"/>
  </r>
  <r>
    <n v="10261"/>
    <n v="114824968"/>
    <s v="Recovery"/>
    <n v="200"/>
    <s v="AHY"/>
    <s v="F"/>
    <n v="9"/>
    <n v="2013"/>
    <n v="2013"/>
    <n v="9"/>
    <x v="0"/>
    <s v="9B"/>
    <x v="4"/>
    <n v="1"/>
    <n v="7"/>
    <x v="0"/>
    <x v="0"/>
  </r>
  <r>
    <n v="10263"/>
    <n v="114824970"/>
    <s v="Recovery"/>
    <n v="200"/>
    <s v="AHY"/>
    <s v="M"/>
    <n v="12"/>
    <n v="2013"/>
    <n v="2013"/>
    <n v="9"/>
    <x v="0"/>
    <s v="9B"/>
    <x v="4"/>
    <n v="1"/>
    <n v="7"/>
    <x v="0"/>
    <x v="0"/>
  </r>
  <r>
    <n v="10266"/>
    <n v="114824973"/>
    <s v="Recovery"/>
    <n v="200"/>
    <s v="AHY"/>
    <s v="F"/>
    <n v="9"/>
    <n v="2013"/>
    <n v="2013"/>
    <n v="9"/>
    <x v="0"/>
    <s v="9B"/>
    <x v="4"/>
    <n v="1"/>
    <n v="7"/>
    <x v="0"/>
    <x v="0"/>
  </r>
  <r>
    <n v="10269"/>
    <n v="114824976"/>
    <s v="Recovery"/>
    <n v="200"/>
    <s v="AHY"/>
    <s v="F"/>
    <n v="1"/>
    <n v="2017"/>
    <n v="2016"/>
    <n v="12"/>
    <x v="0"/>
    <s v="12B"/>
    <x v="12"/>
    <n v="1"/>
    <n v="7"/>
    <x v="0"/>
    <x v="0"/>
  </r>
  <r>
    <n v="10270"/>
    <n v="114824977"/>
    <s v="Recovery"/>
    <n v="200"/>
    <s v="AHY"/>
    <s v="F"/>
    <n v="9"/>
    <n v="2016"/>
    <n v="2016"/>
    <n v="12"/>
    <x v="0"/>
    <s v="12B"/>
    <x v="12"/>
    <n v="1"/>
    <n v="7"/>
    <x v="0"/>
    <x v="0"/>
  </r>
  <r>
    <n v="10277"/>
    <n v="114824984"/>
    <s v="Recovery"/>
    <n v="200"/>
    <s v="AHY"/>
    <s v="F"/>
    <n v="1"/>
    <n v="2013"/>
    <n v="2012"/>
    <n v="8"/>
    <x v="0"/>
    <s v="8B"/>
    <x v="3"/>
    <n v="1"/>
    <n v="7"/>
    <x v="0"/>
    <x v="0"/>
  </r>
  <r>
    <n v="10284"/>
    <n v="114824991"/>
    <s v="Recovery"/>
    <n v="200"/>
    <s v="AHY"/>
    <s v="M"/>
    <n v="9"/>
    <n v="2020"/>
    <n v="2020"/>
    <n v="16"/>
    <x v="0"/>
    <s v="16B"/>
    <x v="15"/>
    <n v="1"/>
    <n v="7"/>
    <x v="0"/>
    <x v="0"/>
  </r>
  <r>
    <n v="10285"/>
    <n v="114824992"/>
    <s v="Recovery"/>
    <n v="200"/>
    <s v="AHY"/>
    <s v="M"/>
    <n v="9"/>
    <n v="2012"/>
    <n v="2012"/>
    <n v="8"/>
    <x v="0"/>
    <s v="8B"/>
    <x v="3"/>
    <n v="1"/>
    <n v="7"/>
    <x v="0"/>
    <x v="0"/>
  </r>
  <r>
    <n v="10288"/>
    <n v="114824995"/>
    <s v="Recovery"/>
    <n v="200"/>
    <s v="AHY"/>
    <s v="F"/>
    <n v="12"/>
    <n v="2012"/>
    <n v="2012"/>
    <n v="8"/>
    <x v="0"/>
    <s v="8B"/>
    <x v="3"/>
    <n v="1"/>
    <n v="7"/>
    <x v="0"/>
    <x v="0"/>
  </r>
  <r>
    <n v="10292"/>
    <n v="114824999"/>
    <s v="Recovery"/>
    <n v="200"/>
    <s v="AHY"/>
    <s v="F"/>
    <n v="1"/>
    <n v="2014"/>
    <n v="2013"/>
    <n v="9"/>
    <x v="0"/>
    <s v="9B"/>
    <x v="4"/>
    <n v="1"/>
    <n v="7"/>
    <x v="0"/>
    <x v="0"/>
  </r>
  <r>
    <n v="10294"/>
    <n v="114825001"/>
    <s v="Recovery"/>
    <n v="200"/>
    <s v="AHY"/>
    <s v="M"/>
    <n v="1"/>
    <n v="2013"/>
    <n v="2012"/>
    <n v="8"/>
    <x v="0"/>
    <s v="8B"/>
    <x v="3"/>
    <n v="1"/>
    <n v="7"/>
    <x v="0"/>
    <x v="0"/>
  </r>
  <r>
    <n v="10311"/>
    <n v="114825018"/>
    <s v="Recovery"/>
    <n v="200"/>
    <s v="AHY"/>
    <s v="M"/>
    <n v="1"/>
    <n v="2018"/>
    <n v="2017"/>
    <n v="13"/>
    <x v="0"/>
    <s v="13B"/>
    <x v="13"/>
    <n v="1"/>
    <n v="7"/>
    <x v="0"/>
    <x v="0"/>
  </r>
  <r>
    <n v="10312"/>
    <n v="114825019"/>
    <s v="Recovery"/>
    <n v="200"/>
    <s v="AHY"/>
    <s v="M"/>
    <n v="12"/>
    <n v="2012"/>
    <n v="2012"/>
    <n v="8"/>
    <x v="0"/>
    <s v="8B"/>
    <x v="3"/>
    <n v="1"/>
    <n v="7"/>
    <x v="0"/>
    <x v="0"/>
  </r>
  <r>
    <n v="10313"/>
    <n v="114825020"/>
    <s v="Recovery"/>
    <n v="200"/>
    <s v="AHY"/>
    <s v="F"/>
    <n v="2"/>
    <n v="2014"/>
    <n v="2013"/>
    <n v="9"/>
    <x v="0"/>
    <s v="9B"/>
    <x v="4"/>
    <n v="1"/>
    <n v="7"/>
    <x v="0"/>
    <x v="0"/>
  </r>
  <r>
    <n v="10314"/>
    <n v="114825021"/>
    <s v="Recovery"/>
    <n v="200"/>
    <s v="AHY"/>
    <s v="F"/>
    <n v="1"/>
    <n v="2019"/>
    <n v="2018"/>
    <n v="14"/>
    <x v="0"/>
    <s v="14B"/>
    <x v="10"/>
    <n v="1"/>
    <n v="7"/>
    <x v="0"/>
    <x v="0"/>
  </r>
  <r>
    <n v="10316"/>
    <n v="114825023"/>
    <s v="Recovery"/>
    <n v="200"/>
    <s v="AHY"/>
    <s v="F"/>
    <n v="1"/>
    <n v="2020"/>
    <n v="2019"/>
    <n v="15"/>
    <x v="0"/>
    <s v="15B"/>
    <x v="11"/>
    <n v="1"/>
    <n v="52"/>
    <x v="11"/>
    <x v="1"/>
  </r>
  <r>
    <n v="10317"/>
    <n v="114825024"/>
    <s v="Recovery"/>
    <n v="200"/>
    <s v="AHY"/>
    <s v="M"/>
    <n v="1"/>
    <n v="2014"/>
    <n v="2013"/>
    <n v="9"/>
    <x v="0"/>
    <s v="9B"/>
    <x v="4"/>
    <n v="1"/>
    <n v="7"/>
    <x v="0"/>
    <x v="0"/>
  </r>
  <r>
    <n v="10319"/>
    <n v="114825026"/>
    <s v="Recovery"/>
    <n v="200"/>
    <s v="AHY"/>
    <s v="M"/>
    <n v="12"/>
    <n v="2012"/>
    <n v="2012"/>
    <n v="8"/>
    <x v="0"/>
    <s v="8B"/>
    <x v="3"/>
    <n v="1"/>
    <n v="7"/>
    <x v="0"/>
    <x v="0"/>
  </r>
  <r>
    <n v="10323"/>
    <n v="114825030"/>
    <s v="Recovery"/>
    <n v="200"/>
    <s v="AHY"/>
    <s v="F"/>
    <n v="9"/>
    <n v="2012"/>
    <n v="2012"/>
    <n v="8"/>
    <x v="0"/>
    <s v="8B"/>
    <x v="3"/>
    <n v="1"/>
    <n v="7"/>
    <x v="0"/>
    <x v="0"/>
  </r>
  <r>
    <n v="10358"/>
    <n v="107821084"/>
    <s v="Recovery"/>
    <n v="200"/>
    <s v="HY"/>
    <s v="F"/>
    <n v="1"/>
    <n v="2014"/>
    <n v="2013"/>
    <n v="9"/>
    <x v="0"/>
    <s v="9B"/>
    <x v="4"/>
    <n v="1"/>
    <n v="7"/>
    <x v="0"/>
    <x v="0"/>
  </r>
  <r>
    <n v="10360"/>
    <n v="107821086"/>
    <s v="Recovery"/>
    <n v="200"/>
    <s v="HY"/>
    <s v="F"/>
    <n v="1"/>
    <n v="2014"/>
    <n v="2013"/>
    <n v="9"/>
    <x v="0"/>
    <s v="9B"/>
    <x v="4"/>
    <n v="1"/>
    <n v="7"/>
    <x v="0"/>
    <x v="0"/>
  </r>
  <r>
    <n v="10368"/>
    <n v="107821094"/>
    <s v="Recovery"/>
    <n v="200"/>
    <s v="AHY"/>
    <s v="F"/>
    <n v="1"/>
    <n v="2014"/>
    <n v="2013"/>
    <n v="9"/>
    <x v="0"/>
    <s v="9B"/>
    <x v="4"/>
    <n v="1"/>
    <n v="7"/>
    <x v="0"/>
    <x v="0"/>
  </r>
  <r>
    <n v="10380"/>
    <n v="114825058"/>
    <s v="Recovery"/>
    <n v="200"/>
    <s v="AHY"/>
    <s v="F"/>
    <n v="12"/>
    <n v="2017"/>
    <n v="2017"/>
    <n v="13"/>
    <x v="0"/>
    <s v="13B"/>
    <x v="13"/>
    <n v="1"/>
    <n v="7"/>
    <x v="0"/>
    <x v="0"/>
  </r>
  <r>
    <n v="10386"/>
    <n v="114825064"/>
    <s v="Recovery"/>
    <n v="200"/>
    <s v="AHY"/>
    <s v="M"/>
    <n v="1"/>
    <n v="2018"/>
    <n v="2017"/>
    <n v="13"/>
    <x v="0"/>
    <s v="13B"/>
    <x v="13"/>
    <n v="1"/>
    <n v="7"/>
    <x v="0"/>
    <x v="0"/>
  </r>
  <r>
    <n v="10388"/>
    <n v="114825066"/>
    <s v="Recovery"/>
    <n v="200"/>
    <s v="AHY"/>
    <s v="F"/>
    <n v="12"/>
    <n v="2014"/>
    <n v="2014"/>
    <n v="10"/>
    <x v="0"/>
    <s v="10B"/>
    <x v="7"/>
    <n v="1"/>
    <n v="7"/>
    <x v="0"/>
    <x v="0"/>
  </r>
  <r>
    <n v="10397"/>
    <n v="114825075"/>
    <s v="Recovery"/>
    <n v="200"/>
    <s v="AHY"/>
    <s v="M"/>
    <n v="9"/>
    <n v="2014"/>
    <n v="2014"/>
    <n v="10"/>
    <x v="0"/>
    <s v="10B"/>
    <x v="7"/>
    <n v="1"/>
    <n v="7"/>
    <x v="0"/>
    <x v="0"/>
  </r>
  <r>
    <n v="10401"/>
    <n v="114825079"/>
    <s v="Recovery"/>
    <n v="200"/>
    <s v="AHY"/>
    <s v="F"/>
    <n v="12"/>
    <n v="2019"/>
    <n v="2019"/>
    <n v="15"/>
    <x v="0"/>
    <s v="15B"/>
    <x v="11"/>
    <n v="1"/>
    <n v="7"/>
    <x v="0"/>
    <x v="0"/>
  </r>
  <r>
    <n v="10405"/>
    <n v="114825083"/>
    <s v="Recovery"/>
    <n v="200"/>
    <s v="AHY"/>
    <s v="M"/>
    <n v="1"/>
    <n v="2015"/>
    <n v="2014"/>
    <n v="10"/>
    <x v="0"/>
    <s v="10B"/>
    <x v="7"/>
    <n v="1"/>
    <n v="7"/>
    <x v="0"/>
    <x v="0"/>
  </r>
  <r>
    <n v="10406"/>
    <n v="114825084"/>
    <s v="Recovery"/>
    <n v="200"/>
    <s v="AHY"/>
    <s v="F"/>
    <n v="1"/>
    <n v="2016"/>
    <n v="2015"/>
    <n v="11"/>
    <x v="0"/>
    <s v="11B"/>
    <x v="14"/>
    <n v="1"/>
    <n v="7"/>
    <x v="0"/>
    <x v="0"/>
  </r>
  <r>
    <n v="10407"/>
    <n v="114825085"/>
    <s v="Recovery"/>
    <n v="200"/>
    <s v="AHY"/>
    <s v="F"/>
    <n v="1"/>
    <n v="2017"/>
    <n v="2016"/>
    <n v="12"/>
    <x v="0"/>
    <s v="12B"/>
    <x v="12"/>
    <n v="1"/>
    <n v="7"/>
    <x v="0"/>
    <x v="0"/>
  </r>
  <r>
    <n v="10408"/>
    <n v="114825086"/>
    <s v="Recovery"/>
    <n v="200"/>
    <s v="AHY"/>
    <s v="M"/>
    <n v="1"/>
    <n v="2016"/>
    <n v="2015"/>
    <n v="11"/>
    <x v="0"/>
    <s v="11B"/>
    <x v="14"/>
    <n v="1"/>
    <n v="51"/>
    <x v="21"/>
    <x v="1"/>
  </r>
  <r>
    <n v="10410"/>
    <n v="114825088"/>
    <s v="Recovery"/>
    <n v="200"/>
    <s v="AHY"/>
    <s v="M"/>
    <n v="9"/>
    <n v="2015"/>
    <n v="2015"/>
    <n v="11"/>
    <x v="0"/>
    <s v="11B"/>
    <x v="14"/>
    <n v="1"/>
    <n v="7"/>
    <x v="0"/>
    <x v="0"/>
  </r>
  <r>
    <n v="10411"/>
    <n v="114825089"/>
    <s v="Recovery"/>
    <n v="200"/>
    <s v="AHY"/>
    <s v="M"/>
    <n v="1"/>
    <n v="2016"/>
    <n v="2015"/>
    <n v="11"/>
    <x v="0"/>
    <s v="11B"/>
    <x v="14"/>
    <n v="1"/>
    <n v="7"/>
    <x v="0"/>
    <x v="0"/>
  </r>
  <r>
    <n v="10413"/>
    <n v="114825091"/>
    <s v="Recovery"/>
    <n v="200"/>
    <s v="AHY"/>
    <s v="F"/>
    <n v="11"/>
    <n v="2015"/>
    <n v="2015"/>
    <n v="11"/>
    <x v="0"/>
    <s v="11B"/>
    <x v="14"/>
    <n v="1"/>
    <n v="7"/>
    <x v="0"/>
    <x v="0"/>
  </r>
  <r>
    <n v="10418"/>
    <n v="114825096"/>
    <s v="Recovery"/>
    <n v="200"/>
    <s v="AHY"/>
    <s v="F"/>
    <n v="1"/>
    <n v="2021"/>
    <n v="2020"/>
    <n v="16"/>
    <x v="0"/>
    <s v="16B"/>
    <x v="15"/>
    <n v="1"/>
    <n v="7"/>
    <x v="0"/>
    <x v="0"/>
  </r>
  <r>
    <n v="10419"/>
    <n v="114825097"/>
    <s v="Recovery"/>
    <n v="200"/>
    <s v="AHY"/>
    <s v="M"/>
    <n v="9"/>
    <n v="2015"/>
    <n v="2015"/>
    <n v="11"/>
    <x v="0"/>
    <s v="11B"/>
    <x v="14"/>
    <n v="1"/>
    <n v="7"/>
    <x v="0"/>
    <x v="0"/>
  </r>
  <r>
    <n v="10422"/>
    <n v="114825100"/>
    <s v="Recovery"/>
    <n v="200"/>
    <s v="AHY"/>
    <s v="F"/>
    <n v="1"/>
    <n v="2015"/>
    <n v="2014"/>
    <n v="10"/>
    <x v="0"/>
    <s v="10B"/>
    <x v="7"/>
    <n v="1"/>
    <n v="7"/>
    <x v="0"/>
    <x v="0"/>
  </r>
  <r>
    <n v="10430"/>
    <n v="114825108"/>
    <s v="Recovery"/>
    <n v="200"/>
    <s v="AHY"/>
    <s v="F"/>
    <n v="1"/>
    <n v="2018"/>
    <n v="2017"/>
    <n v="13"/>
    <x v="0"/>
    <s v="13B"/>
    <x v="13"/>
    <n v="1"/>
    <n v="7"/>
    <x v="0"/>
    <x v="0"/>
  </r>
  <r>
    <n v="10435"/>
    <n v="114825113"/>
    <s v="Recovery"/>
    <n v="200"/>
    <s v="AHY"/>
    <s v="F"/>
    <n v="11"/>
    <n v="2014"/>
    <n v="2014"/>
    <n v="10"/>
    <x v="0"/>
    <s v="10B"/>
    <x v="7"/>
    <n v="1"/>
    <n v="50"/>
    <x v="3"/>
    <x v="1"/>
  </r>
  <r>
    <n v="10437"/>
    <n v="114825115"/>
    <s v="Recovery"/>
    <n v="200"/>
    <s v="AHY"/>
    <s v="F"/>
    <n v="12"/>
    <n v="2015"/>
    <n v="2015"/>
    <n v="11"/>
    <x v="0"/>
    <s v="11B"/>
    <x v="14"/>
    <n v="1"/>
    <n v="7"/>
    <x v="0"/>
    <x v="0"/>
  </r>
  <r>
    <n v="10443"/>
    <n v="114825121"/>
    <s v="Recovery"/>
    <n v="200"/>
    <s v="HY"/>
    <s v="F"/>
    <n v="1"/>
    <n v="2014"/>
    <n v="2013"/>
    <n v="9"/>
    <x v="0"/>
    <s v="9B"/>
    <x v="4"/>
    <n v="1"/>
    <n v="7"/>
    <x v="0"/>
    <x v="0"/>
  </r>
  <r>
    <n v="10445"/>
    <n v="114825123"/>
    <s v="Recovery"/>
    <n v="200"/>
    <s v="AHY"/>
    <s v="M"/>
    <n v="1"/>
    <n v="2018"/>
    <n v="2017"/>
    <n v="13"/>
    <x v="0"/>
    <s v="13B"/>
    <x v="13"/>
    <n v="1"/>
    <n v="7"/>
    <x v="0"/>
    <x v="0"/>
  </r>
  <r>
    <n v="10447"/>
    <n v="114825125"/>
    <s v="Recovery"/>
    <n v="200"/>
    <s v="AHY"/>
    <s v="F"/>
    <n v="2"/>
    <n v="2014"/>
    <n v="2013"/>
    <n v="9"/>
    <x v="0"/>
    <s v="9B"/>
    <x v="4"/>
    <n v="1"/>
    <n v="7"/>
    <x v="0"/>
    <x v="0"/>
  </r>
  <r>
    <n v="10448"/>
    <n v="114825126"/>
    <s v="Recovery"/>
    <n v="200"/>
    <s v="AHY"/>
    <s v="F"/>
    <n v="1"/>
    <n v="2017"/>
    <n v="2016"/>
    <n v="12"/>
    <x v="0"/>
    <s v="12B"/>
    <x v="12"/>
    <n v="1"/>
    <n v="7"/>
    <x v="0"/>
    <x v="0"/>
  </r>
  <r>
    <n v="10456"/>
    <n v="114825134"/>
    <s v="Recovery"/>
    <n v="200"/>
    <s v="AHY"/>
    <s v="M"/>
    <n v="1"/>
    <n v="2015"/>
    <n v="2014"/>
    <n v="10"/>
    <x v="0"/>
    <s v="10B"/>
    <x v="7"/>
    <n v="1"/>
    <n v="7"/>
    <x v="0"/>
    <x v="0"/>
  </r>
  <r>
    <n v="10457"/>
    <n v="114825135"/>
    <s v="Recovery"/>
    <n v="200"/>
    <s v="AHY"/>
    <s v="M"/>
    <n v="9"/>
    <n v="2015"/>
    <n v="2015"/>
    <n v="11"/>
    <x v="0"/>
    <s v="11B"/>
    <x v="14"/>
    <n v="1"/>
    <n v="7"/>
    <x v="0"/>
    <x v="0"/>
  </r>
  <r>
    <n v="10460"/>
    <n v="114825138"/>
    <s v="Recovery"/>
    <n v="200"/>
    <s v="AHY"/>
    <s v="F"/>
    <n v="9"/>
    <n v="2014"/>
    <n v="2014"/>
    <n v="10"/>
    <x v="0"/>
    <s v="10B"/>
    <x v="7"/>
    <n v="1"/>
    <n v="7"/>
    <x v="0"/>
    <x v="0"/>
  </r>
  <r>
    <n v="10463"/>
    <n v="114825141"/>
    <s v="Recovery"/>
    <n v="200"/>
    <s v="AHY"/>
    <s v="F"/>
    <n v="9"/>
    <n v="2014"/>
    <n v="2014"/>
    <n v="10"/>
    <x v="0"/>
    <s v="10B"/>
    <x v="7"/>
    <n v="1"/>
    <n v="7"/>
    <x v="0"/>
    <x v="0"/>
  </r>
  <r>
    <n v="10465"/>
    <n v="114825143"/>
    <s v="Recovery"/>
    <n v="200"/>
    <s v="AHY"/>
    <s v="F"/>
    <n v="1"/>
    <n v="2016"/>
    <n v="2015"/>
    <n v="11"/>
    <x v="0"/>
    <s v="11B"/>
    <x v="14"/>
    <n v="1"/>
    <n v="7"/>
    <x v="0"/>
    <x v="0"/>
  </r>
  <r>
    <n v="10466"/>
    <n v="114825144"/>
    <s v="Recovery"/>
    <n v="200"/>
    <s v="AHY"/>
    <s v="F"/>
    <n v="9"/>
    <n v="2015"/>
    <n v="2015"/>
    <n v="11"/>
    <x v="0"/>
    <s v="11B"/>
    <x v="14"/>
    <n v="1"/>
    <n v="7"/>
    <x v="0"/>
    <x v="0"/>
  </r>
  <r>
    <n v="10471"/>
    <n v="114825149"/>
    <s v="Recovery"/>
    <n v="200"/>
    <s v="HY"/>
    <s v="F"/>
    <n v="12"/>
    <n v="2013"/>
    <n v="2013"/>
    <n v="9"/>
    <x v="0"/>
    <s v="9B"/>
    <x v="4"/>
    <n v="1"/>
    <n v="7"/>
    <x v="0"/>
    <x v="0"/>
  </r>
  <r>
    <n v="10473"/>
    <n v="114825151"/>
    <s v="Recovery"/>
    <n v="200"/>
    <s v="AHY"/>
    <s v="M"/>
    <n v="9"/>
    <n v="2014"/>
    <n v="2014"/>
    <n v="10"/>
    <x v="0"/>
    <s v="10B"/>
    <x v="7"/>
    <n v="1"/>
    <n v="7"/>
    <x v="0"/>
    <x v="0"/>
  </r>
  <r>
    <n v="10474"/>
    <n v="114825152"/>
    <s v="Recovery"/>
    <n v="200"/>
    <s v="AHY"/>
    <s v="F"/>
    <n v="1"/>
    <n v="2018"/>
    <n v="2017"/>
    <n v="13"/>
    <x v="0"/>
    <s v="13B"/>
    <x v="13"/>
    <n v="1"/>
    <n v="7"/>
    <x v="0"/>
    <x v="0"/>
  </r>
  <r>
    <n v="10476"/>
    <n v="114825154"/>
    <s v="Recovery"/>
    <n v="200"/>
    <s v="AHY"/>
    <s v="M"/>
    <n v="9"/>
    <n v="2017"/>
    <n v="2017"/>
    <n v="13"/>
    <x v="0"/>
    <s v="13B"/>
    <x v="13"/>
    <n v="1"/>
    <n v="7"/>
    <x v="0"/>
    <x v="0"/>
  </r>
  <r>
    <n v="10477"/>
    <n v="114825155"/>
    <s v="Recovery"/>
    <n v="200"/>
    <s v="AHY"/>
    <s v="F"/>
    <n v="12"/>
    <n v="2015"/>
    <n v="2015"/>
    <n v="11"/>
    <x v="0"/>
    <s v="11B"/>
    <x v="14"/>
    <n v="1"/>
    <n v="7"/>
    <x v="0"/>
    <x v="0"/>
  </r>
  <r>
    <n v="10483"/>
    <n v="114825161"/>
    <s v="Recovery"/>
    <n v="200"/>
    <s v="AHY"/>
    <s v="M"/>
    <n v="9"/>
    <n v="2013"/>
    <n v="2013"/>
    <n v="9"/>
    <x v="0"/>
    <s v="9B"/>
    <x v="4"/>
    <n v="1"/>
    <n v="7"/>
    <x v="0"/>
    <x v="0"/>
  </r>
  <r>
    <n v="10485"/>
    <n v="114825163"/>
    <s v="Recovery"/>
    <n v="200"/>
    <s v="AHY"/>
    <s v="F"/>
    <n v="1"/>
    <n v="2016"/>
    <n v="2015"/>
    <n v="11"/>
    <x v="0"/>
    <s v="11B"/>
    <x v="14"/>
    <n v="1"/>
    <n v="7"/>
    <x v="0"/>
    <x v="0"/>
  </r>
  <r>
    <n v="10488"/>
    <n v="114825166"/>
    <s v="Recovery"/>
    <n v="200"/>
    <s v="AHY"/>
    <s v="F"/>
    <n v="1"/>
    <n v="2021"/>
    <n v="2020"/>
    <n v="16"/>
    <x v="0"/>
    <s v="16B"/>
    <x v="15"/>
    <n v="1"/>
    <n v="7"/>
    <x v="0"/>
    <x v="0"/>
  </r>
  <r>
    <n v="10490"/>
    <n v="114825168"/>
    <s v="Recovery"/>
    <n v="200"/>
    <s v="AHY"/>
    <s v="F"/>
    <n v="9"/>
    <n v="2016"/>
    <n v="2016"/>
    <n v="12"/>
    <x v="0"/>
    <s v="12B"/>
    <x v="12"/>
    <n v="1"/>
    <n v="34"/>
    <x v="9"/>
    <x v="1"/>
  </r>
  <r>
    <n v="10491"/>
    <n v="114825169"/>
    <s v="Recovery"/>
    <n v="200"/>
    <s v="AHY"/>
    <s v="F"/>
    <n v="9"/>
    <n v="2013"/>
    <n v="2013"/>
    <n v="9"/>
    <x v="0"/>
    <s v="9B"/>
    <x v="4"/>
    <n v="1"/>
    <n v="7"/>
    <x v="0"/>
    <x v="0"/>
  </r>
  <r>
    <n v="10495"/>
    <n v="114825173"/>
    <s v="Recovery"/>
    <n v="200"/>
    <s v="HY"/>
    <s v="F"/>
    <n v="1"/>
    <n v="2014"/>
    <n v="2013"/>
    <n v="9"/>
    <x v="0"/>
    <s v="9B"/>
    <x v="4"/>
    <n v="1"/>
    <n v="7"/>
    <x v="0"/>
    <x v="0"/>
  </r>
  <r>
    <n v="10496"/>
    <n v="114825174"/>
    <s v="Recovery"/>
    <n v="200"/>
    <s v="AHY"/>
    <s v="F"/>
    <n v="1"/>
    <n v="2017"/>
    <n v="2016"/>
    <n v="12"/>
    <x v="0"/>
    <s v="12B"/>
    <x v="12"/>
    <n v="1"/>
    <n v="7"/>
    <x v="0"/>
    <x v="0"/>
  </r>
  <r>
    <n v="10499"/>
    <n v="114825177"/>
    <s v="Recovery"/>
    <n v="200"/>
    <s v="AHY"/>
    <s v="M"/>
    <n v="1"/>
    <n v="2017"/>
    <n v="2016"/>
    <n v="12"/>
    <x v="0"/>
    <s v="12B"/>
    <x v="12"/>
    <n v="1"/>
    <n v="7"/>
    <x v="0"/>
    <x v="0"/>
  </r>
  <r>
    <n v="10504"/>
    <n v="114825182"/>
    <s v="Recovery"/>
    <n v="200"/>
    <s v="AHY"/>
    <s v="F"/>
    <n v="9"/>
    <n v="2018"/>
    <n v="2018"/>
    <n v="14"/>
    <x v="0"/>
    <s v="14B"/>
    <x v="10"/>
    <n v="1"/>
    <n v="7"/>
    <x v="0"/>
    <x v="0"/>
  </r>
  <r>
    <n v="10505"/>
    <n v="114825183"/>
    <s v="Recovery"/>
    <n v="200"/>
    <s v="AHY"/>
    <s v="F"/>
    <n v="1"/>
    <n v="2018"/>
    <n v="2017"/>
    <n v="13"/>
    <x v="0"/>
    <s v="13B"/>
    <x v="13"/>
    <n v="1"/>
    <n v="7"/>
    <x v="0"/>
    <x v="0"/>
  </r>
  <r>
    <n v="10507"/>
    <n v="114825185"/>
    <s v="Recovery"/>
    <n v="200"/>
    <s v="AHY"/>
    <s v="M"/>
    <n v="1"/>
    <n v="2016"/>
    <n v="2015"/>
    <n v="11"/>
    <x v="0"/>
    <s v="11B"/>
    <x v="14"/>
    <n v="1"/>
    <n v="7"/>
    <x v="0"/>
    <x v="0"/>
  </r>
  <r>
    <n v="10510"/>
    <n v="114825188"/>
    <s v="Recovery"/>
    <n v="200"/>
    <s v="AHY"/>
    <s v="F"/>
    <n v="1"/>
    <n v="2020"/>
    <n v="2019"/>
    <n v="15"/>
    <x v="0"/>
    <s v="15B"/>
    <x v="11"/>
    <n v="1"/>
    <n v="51"/>
    <x v="21"/>
    <x v="1"/>
  </r>
  <r>
    <n v="10511"/>
    <n v="114825189"/>
    <s v="Recovery"/>
    <n v="200"/>
    <s v="AHY"/>
    <s v="M"/>
    <n v="1"/>
    <n v="2017"/>
    <n v="2016"/>
    <n v="12"/>
    <x v="0"/>
    <s v="12B"/>
    <x v="12"/>
    <n v="1"/>
    <n v="7"/>
    <x v="0"/>
    <x v="0"/>
  </r>
  <r>
    <n v="10514"/>
    <n v="114825192"/>
    <s v="Recovery"/>
    <n v="200"/>
    <s v="AHY"/>
    <s v="F"/>
    <n v="11"/>
    <n v="2014"/>
    <n v="2014"/>
    <n v="10"/>
    <x v="0"/>
    <s v="10B"/>
    <x v="7"/>
    <n v="1"/>
    <n v="7"/>
    <x v="0"/>
    <x v="0"/>
  </r>
  <r>
    <n v="10516"/>
    <n v="114825194"/>
    <s v="Recovery"/>
    <n v="200"/>
    <s v="AHY"/>
    <s v="F"/>
    <n v="1"/>
    <n v="2016"/>
    <n v="2015"/>
    <n v="11"/>
    <x v="0"/>
    <s v="11B"/>
    <x v="14"/>
    <n v="1"/>
    <n v="7"/>
    <x v="0"/>
    <x v="0"/>
  </r>
  <r>
    <n v="10522"/>
    <n v="114825200"/>
    <s v="Recovery"/>
    <n v="200"/>
    <s v="AHY"/>
    <s v="F"/>
    <n v="12"/>
    <n v="2018"/>
    <n v="2018"/>
    <n v="14"/>
    <x v="0"/>
    <s v="14B"/>
    <x v="10"/>
    <n v="1"/>
    <n v="7"/>
    <x v="0"/>
    <x v="0"/>
  </r>
  <r>
    <n v="10530"/>
    <n v="114889508"/>
    <s v="Recovery"/>
    <n v="200"/>
    <s v="AHY"/>
    <s v="F"/>
    <n v="11"/>
    <n v="2014"/>
    <n v="2014"/>
    <n v="10"/>
    <x v="0"/>
    <s v="10B"/>
    <x v="7"/>
    <n v="1"/>
    <n v="7"/>
    <x v="0"/>
    <x v="0"/>
  </r>
  <r>
    <n v="10531"/>
    <n v="114889509"/>
    <s v="Recovery"/>
    <n v="200"/>
    <s v="AHY"/>
    <s v="F"/>
    <n v="9"/>
    <n v="2019"/>
    <n v="2019"/>
    <n v="15"/>
    <x v="0"/>
    <s v="15B"/>
    <x v="11"/>
    <n v="1"/>
    <n v="7"/>
    <x v="0"/>
    <x v="0"/>
  </r>
  <r>
    <n v="10532"/>
    <n v="114889510"/>
    <s v="Recovery"/>
    <n v="200"/>
    <s v="AHY"/>
    <s v="M"/>
    <n v="1"/>
    <n v="2016"/>
    <n v="2015"/>
    <n v="11"/>
    <x v="0"/>
    <s v="11B"/>
    <x v="14"/>
    <n v="1"/>
    <n v="7"/>
    <x v="0"/>
    <x v="0"/>
  </r>
  <r>
    <n v="10545"/>
    <n v="114889523"/>
    <s v="Recovery"/>
    <n v="200"/>
    <s v="AHY"/>
    <s v="M"/>
    <n v="12"/>
    <n v="2014"/>
    <n v="2014"/>
    <n v="10"/>
    <x v="0"/>
    <s v="10B"/>
    <x v="7"/>
    <n v="1"/>
    <n v="7"/>
    <x v="0"/>
    <x v="0"/>
  </r>
  <r>
    <n v="10548"/>
    <n v="114889526"/>
    <s v="Recovery"/>
    <n v="200"/>
    <s v="AHY"/>
    <s v="F"/>
    <n v="1"/>
    <n v="2017"/>
    <n v="2016"/>
    <n v="12"/>
    <x v="0"/>
    <s v="12B"/>
    <x v="12"/>
    <n v="1"/>
    <n v="7"/>
    <x v="0"/>
    <x v="0"/>
  </r>
  <r>
    <n v="10550"/>
    <n v="114889528"/>
    <s v="Recovery"/>
    <n v="200"/>
    <s v="AHY"/>
    <s v="M"/>
    <n v="1"/>
    <n v="2016"/>
    <n v="2015"/>
    <n v="11"/>
    <x v="0"/>
    <s v="11B"/>
    <x v="14"/>
    <n v="1"/>
    <n v="7"/>
    <x v="0"/>
    <x v="0"/>
  </r>
  <r>
    <n v="10557"/>
    <n v="114889535"/>
    <s v="Recovery"/>
    <n v="200"/>
    <s v="AHY"/>
    <s v="F"/>
    <n v="12"/>
    <n v="2014"/>
    <n v="2014"/>
    <n v="10"/>
    <x v="0"/>
    <s v="10B"/>
    <x v="7"/>
    <n v="1"/>
    <n v="7"/>
    <x v="0"/>
    <x v="0"/>
  </r>
  <r>
    <n v="10563"/>
    <n v="114889541"/>
    <s v="Recovery"/>
    <n v="200"/>
    <s v="AHY"/>
    <s v="M"/>
    <n v="12"/>
    <n v="2013"/>
    <n v="2013"/>
    <n v="9"/>
    <x v="0"/>
    <s v="9B"/>
    <x v="4"/>
    <n v="1"/>
    <n v="7"/>
    <x v="0"/>
    <x v="0"/>
  </r>
  <r>
    <n v="10567"/>
    <n v="114889545"/>
    <s v="Recovery"/>
    <n v="200"/>
    <s v="AHY"/>
    <s v="F"/>
    <n v="12"/>
    <n v="2014"/>
    <n v="2014"/>
    <n v="10"/>
    <x v="0"/>
    <s v="10B"/>
    <x v="7"/>
    <n v="1"/>
    <n v="7"/>
    <x v="0"/>
    <x v="0"/>
  </r>
  <r>
    <n v="10568"/>
    <n v="114889546"/>
    <s v="Recovery"/>
    <n v="200"/>
    <s v="HY"/>
    <s v="F"/>
    <n v="9"/>
    <n v="2013"/>
    <n v="2013"/>
    <n v="9"/>
    <x v="0"/>
    <s v="9B"/>
    <x v="4"/>
    <n v="1"/>
    <n v="7"/>
    <x v="0"/>
    <x v="0"/>
  </r>
  <r>
    <n v="10572"/>
    <n v="114889550"/>
    <s v="Recovery"/>
    <n v="200"/>
    <s v="HY"/>
    <s v="F"/>
    <n v="9"/>
    <n v="2013"/>
    <n v="2013"/>
    <n v="9"/>
    <x v="0"/>
    <s v="9B"/>
    <x v="4"/>
    <n v="1"/>
    <n v="7"/>
    <x v="0"/>
    <x v="0"/>
  </r>
  <r>
    <n v="10573"/>
    <n v="114889551"/>
    <s v="Recovery"/>
    <n v="200"/>
    <s v="HY"/>
    <s v="M"/>
    <n v="9"/>
    <n v="2013"/>
    <n v="2013"/>
    <n v="9"/>
    <x v="0"/>
    <s v="9B"/>
    <x v="4"/>
    <n v="1"/>
    <n v="7"/>
    <x v="0"/>
    <x v="0"/>
  </r>
  <r>
    <n v="10574"/>
    <n v="114889552"/>
    <s v="Recovery"/>
    <n v="200"/>
    <s v="AHY"/>
    <s v="M"/>
    <n v="12"/>
    <n v="2014"/>
    <n v="2014"/>
    <n v="10"/>
    <x v="0"/>
    <s v="10B"/>
    <x v="7"/>
    <n v="1"/>
    <n v="7"/>
    <x v="0"/>
    <x v="0"/>
  </r>
  <r>
    <n v="10587"/>
    <n v="114889565"/>
    <s v="Recovery"/>
    <n v="200"/>
    <s v="AHY"/>
    <s v="M"/>
    <n v="9"/>
    <n v="2013"/>
    <n v="2013"/>
    <n v="9"/>
    <x v="0"/>
    <s v="9B"/>
    <x v="4"/>
    <n v="1"/>
    <n v="7"/>
    <x v="0"/>
    <x v="0"/>
  </r>
  <r>
    <n v="10592"/>
    <n v="114889570"/>
    <s v="Recovery"/>
    <n v="200"/>
    <s v="AHY"/>
    <s v="M"/>
    <n v="12"/>
    <n v="2014"/>
    <n v="2014"/>
    <n v="10"/>
    <x v="0"/>
    <s v="10B"/>
    <x v="7"/>
    <n v="1"/>
    <n v="7"/>
    <x v="0"/>
    <x v="0"/>
  </r>
  <r>
    <n v="10602"/>
    <n v="114889580"/>
    <s v="Recovery"/>
    <n v="200"/>
    <s v="AHY"/>
    <s v="F"/>
    <n v="12"/>
    <n v="2017"/>
    <n v="2017"/>
    <n v="13"/>
    <x v="0"/>
    <s v="13B"/>
    <x v="13"/>
    <n v="1"/>
    <n v="7"/>
    <x v="0"/>
    <x v="0"/>
  </r>
  <r>
    <n v="10606"/>
    <n v="114889584"/>
    <s v="Recovery"/>
    <n v="200"/>
    <s v="AHY"/>
    <s v="M"/>
    <n v="12"/>
    <n v="2015"/>
    <n v="2015"/>
    <n v="11"/>
    <x v="0"/>
    <s v="11B"/>
    <x v="14"/>
    <n v="1"/>
    <n v="7"/>
    <x v="0"/>
    <x v="0"/>
  </r>
  <r>
    <n v="10611"/>
    <n v="114889589"/>
    <s v="Recovery"/>
    <n v="200"/>
    <s v="AHY"/>
    <s v="M"/>
    <n v="11"/>
    <n v="2013"/>
    <n v="2013"/>
    <n v="9"/>
    <x v="0"/>
    <s v="9B"/>
    <x v="4"/>
    <n v="1"/>
    <n v="7"/>
    <x v="0"/>
    <x v="0"/>
  </r>
  <r>
    <n v="10615"/>
    <n v="114889593"/>
    <s v="Recovery"/>
    <n v="200"/>
    <s v="HY"/>
    <s v="M"/>
    <n v="9"/>
    <n v="2013"/>
    <n v="2013"/>
    <n v="9"/>
    <x v="0"/>
    <s v="9B"/>
    <x v="4"/>
    <n v="1"/>
    <n v="7"/>
    <x v="0"/>
    <x v="0"/>
  </r>
  <r>
    <n v="10616"/>
    <n v="114889594"/>
    <s v="Recovery"/>
    <n v="200"/>
    <s v="AHY"/>
    <s v="M"/>
    <n v="1"/>
    <n v="2021"/>
    <n v="2020"/>
    <n v="16"/>
    <x v="0"/>
    <s v="16B"/>
    <x v="15"/>
    <n v="1"/>
    <n v="7"/>
    <x v="0"/>
    <x v="0"/>
  </r>
  <r>
    <n v="10619"/>
    <n v="114889597"/>
    <s v="Recovery"/>
    <n v="200"/>
    <s v="HY"/>
    <s v="F"/>
    <n v="11"/>
    <n v="2013"/>
    <n v="2013"/>
    <n v="9"/>
    <x v="0"/>
    <s v="9B"/>
    <x v="4"/>
    <n v="1"/>
    <n v="7"/>
    <x v="0"/>
    <x v="0"/>
  </r>
  <r>
    <n v="10623"/>
    <n v="114889601"/>
    <s v="Recovery"/>
    <n v="200"/>
    <s v="AHY"/>
    <s v="M"/>
    <n v="12"/>
    <n v="2014"/>
    <n v="2014"/>
    <n v="10"/>
    <x v="0"/>
    <s v="10B"/>
    <x v="7"/>
    <n v="1"/>
    <n v="7"/>
    <x v="0"/>
    <x v="0"/>
  </r>
  <r>
    <n v="10629"/>
    <n v="114889607"/>
    <s v="Recovery"/>
    <n v="200"/>
    <s v="AHY"/>
    <s v="M"/>
    <n v="1"/>
    <n v="2016"/>
    <n v="2015"/>
    <n v="11"/>
    <x v="0"/>
    <s v="11B"/>
    <x v="14"/>
    <n v="1"/>
    <n v="7"/>
    <x v="0"/>
    <x v="0"/>
  </r>
  <r>
    <n v="10635"/>
    <n v="114889613"/>
    <s v="Recovery"/>
    <n v="200"/>
    <s v="HY"/>
    <s v="M"/>
    <n v="12"/>
    <n v="2013"/>
    <n v="2013"/>
    <n v="9"/>
    <x v="0"/>
    <s v="9B"/>
    <x v="4"/>
    <n v="1"/>
    <n v="7"/>
    <x v="0"/>
    <x v="0"/>
  </r>
  <r>
    <n v="10642"/>
    <n v="114889620"/>
    <s v="Recovery"/>
    <n v="200"/>
    <s v="AHY"/>
    <s v="F"/>
    <n v="1"/>
    <n v="2015"/>
    <n v="2014"/>
    <n v="10"/>
    <x v="0"/>
    <s v="10B"/>
    <x v="7"/>
    <n v="1"/>
    <n v="7"/>
    <x v="0"/>
    <x v="0"/>
  </r>
  <r>
    <n v="10643"/>
    <n v="114889621"/>
    <s v="Recovery"/>
    <n v="200"/>
    <s v="AHY"/>
    <s v="F"/>
    <n v="1"/>
    <n v="2016"/>
    <n v="2015"/>
    <n v="11"/>
    <x v="0"/>
    <s v="11B"/>
    <x v="14"/>
    <n v="1"/>
    <n v="7"/>
    <x v="0"/>
    <x v="0"/>
  </r>
  <r>
    <n v="10644"/>
    <n v="114889622"/>
    <s v="Recovery"/>
    <n v="200"/>
    <s v="AHY"/>
    <s v="F"/>
    <n v="12"/>
    <n v="2017"/>
    <n v="2017"/>
    <n v="13"/>
    <x v="0"/>
    <s v="13B"/>
    <x v="13"/>
    <n v="1"/>
    <n v="7"/>
    <x v="0"/>
    <x v="0"/>
  </r>
  <r>
    <n v="10648"/>
    <n v="114889626"/>
    <s v="Recovery"/>
    <n v="200"/>
    <s v="AHY"/>
    <s v="F"/>
    <n v="1"/>
    <n v="2015"/>
    <n v="2014"/>
    <n v="10"/>
    <x v="0"/>
    <s v="10B"/>
    <x v="7"/>
    <n v="1"/>
    <n v="7"/>
    <x v="0"/>
    <x v="0"/>
  </r>
  <r>
    <n v="10653"/>
    <n v="114889631"/>
    <s v="Recovery"/>
    <n v="200"/>
    <s v="AHY"/>
    <s v="M"/>
    <n v="1"/>
    <n v="2016"/>
    <n v="2015"/>
    <n v="11"/>
    <x v="0"/>
    <s v="11B"/>
    <x v="14"/>
    <n v="1"/>
    <n v="7"/>
    <x v="0"/>
    <x v="0"/>
  </r>
  <r>
    <n v="10659"/>
    <n v="114889637"/>
    <s v="Recovery"/>
    <n v="200"/>
    <s v="AHY"/>
    <s v="F"/>
    <n v="1"/>
    <n v="2021"/>
    <n v="2020"/>
    <n v="16"/>
    <x v="0"/>
    <s v="16B"/>
    <x v="15"/>
    <n v="1"/>
    <n v="7"/>
    <x v="0"/>
    <x v="0"/>
  </r>
  <r>
    <n v="10660"/>
    <n v="114889638"/>
    <s v="Recovery"/>
    <n v="200"/>
    <s v="AHY"/>
    <s v="F"/>
    <n v="1"/>
    <n v="2016"/>
    <n v="2015"/>
    <n v="11"/>
    <x v="0"/>
    <s v="11B"/>
    <x v="14"/>
    <n v="1"/>
    <n v="7"/>
    <x v="0"/>
    <x v="0"/>
  </r>
  <r>
    <n v="10665"/>
    <n v="114889701"/>
    <s v="Recovery"/>
    <n v="200"/>
    <s v="AHY"/>
    <s v="F"/>
    <n v="12"/>
    <n v="2014"/>
    <n v="2014"/>
    <n v="10"/>
    <x v="0"/>
    <s v="10B"/>
    <x v="7"/>
    <n v="1"/>
    <n v="7"/>
    <x v="0"/>
    <x v="0"/>
  </r>
  <r>
    <n v="10667"/>
    <n v="114889703"/>
    <s v="Recovery"/>
    <n v="200"/>
    <s v="AHY"/>
    <s v="F"/>
    <n v="11"/>
    <n v="2013"/>
    <n v="2013"/>
    <n v="9"/>
    <x v="0"/>
    <s v="9B"/>
    <x v="4"/>
    <n v="1"/>
    <n v="7"/>
    <x v="0"/>
    <x v="0"/>
  </r>
  <r>
    <n v="10669"/>
    <n v="114889705"/>
    <s v="Recovery"/>
    <n v="200"/>
    <s v="AHY"/>
    <s v="F"/>
    <n v="9"/>
    <n v="2017"/>
    <n v="2017"/>
    <n v="13"/>
    <x v="0"/>
    <s v="13B"/>
    <x v="13"/>
    <n v="1"/>
    <n v="7"/>
    <x v="0"/>
    <x v="0"/>
  </r>
  <r>
    <n v="10674"/>
    <n v="114889710"/>
    <s v="Recovery"/>
    <n v="200"/>
    <s v="AHY"/>
    <s v="F"/>
    <n v="2"/>
    <n v="2014"/>
    <n v="2013"/>
    <n v="9"/>
    <x v="0"/>
    <s v="9B"/>
    <x v="4"/>
    <n v="1"/>
    <n v="7"/>
    <x v="0"/>
    <x v="0"/>
  </r>
  <r>
    <n v="10679"/>
    <n v="114889715"/>
    <s v="Recovery"/>
    <n v="200"/>
    <s v="AHY"/>
    <s v="F"/>
    <n v="1"/>
    <n v="2016"/>
    <n v="2015"/>
    <n v="11"/>
    <x v="0"/>
    <s v="11B"/>
    <x v="14"/>
    <n v="1"/>
    <n v="7"/>
    <x v="0"/>
    <x v="0"/>
  </r>
  <r>
    <n v="10682"/>
    <n v="114889718"/>
    <s v="Recovery"/>
    <n v="200"/>
    <s v="AHY"/>
    <s v="M"/>
    <n v="12"/>
    <n v="2018"/>
    <n v="2018"/>
    <n v="14"/>
    <x v="0"/>
    <s v="14B"/>
    <x v="10"/>
    <n v="1"/>
    <n v="7"/>
    <x v="0"/>
    <x v="0"/>
  </r>
  <r>
    <n v="10685"/>
    <n v="114889721"/>
    <s v="Recovery"/>
    <n v="200"/>
    <s v="AHY"/>
    <s v="M"/>
    <n v="9"/>
    <n v="2014"/>
    <n v="2014"/>
    <n v="10"/>
    <x v="0"/>
    <s v="10B"/>
    <x v="7"/>
    <n v="1"/>
    <n v="7"/>
    <x v="0"/>
    <x v="0"/>
  </r>
  <r>
    <n v="10687"/>
    <n v="114889723"/>
    <s v="Recovery"/>
    <n v="200"/>
    <s v="AHY"/>
    <s v="M"/>
    <n v="1"/>
    <n v="2016"/>
    <n v="2015"/>
    <n v="11"/>
    <x v="0"/>
    <s v="11B"/>
    <x v="14"/>
    <n v="1"/>
    <n v="7"/>
    <x v="0"/>
    <x v="0"/>
  </r>
  <r>
    <n v="10690"/>
    <n v="114889726"/>
    <s v="Recovery"/>
    <n v="200"/>
    <s v="AHY"/>
    <s v="M"/>
    <n v="12"/>
    <n v="2014"/>
    <n v="2014"/>
    <n v="10"/>
    <x v="0"/>
    <s v="10B"/>
    <x v="7"/>
    <n v="1"/>
    <n v="7"/>
    <x v="0"/>
    <x v="0"/>
  </r>
  <r>
    <n v="10694"/>
    <n v="114889730"/>
    <s v="Recovery"/>
    <n v="200"/>
    <s v="AHY"/>
    <s v="M"/>
    <n v="11"/>
    <n v="2014"/>
    <n v="2014"/>
    <n v="10"/>
    <x v="0"/>
    <s v="10B"/>
    <x v="7"/>
    <n v="1"/>
    <n v="7"/>
    <x v="0"/>
    <x v="0"/>
  </r>
  <r>
    <n v="10696"/>
    <n v="114889732"/>
    <s v="Recovery"/>
    <n v="200"/>
    <s v="AHY"/>
    <s v="F"/>
    <n v="1"/>
    <n v="2015"/>
    <n v="2014"/>
    <n v="10"/>
    <x v="0"/>
    <s v="10B"/>
    <x v="7"/>
    <n v="1"/>
    <n v="7"/>
    <x v="0"/>
    <x v="0"/>
  </r>
  <r>
    <n v="10703"/>
    <n v="114889739"/>
    <s v="Recovery"/>
    <n v="200"/>
    <s v="AHY"/>
    <s v="F"/>
    <n v="1"/>
    <n v="2016"/>
    <n v="2015"/>
    <n v="11"/>
    <x v="0"/>
    <s v="11B"/>
    <x v="14"/>
    <n v="1"/>
    <n v="7"/>
    <x v="0"/>
    <x v="0"/>
  </r>
  <r>
    <n v="10706"/>
    <n v="114889742"/>
    <s v="Recovery"/>
    <n v="200"/>
    <s v="AHY"/>
    <s v="F"/>
    <n v="12"/>
    <n v="2019"/>
    <n v="2019"/>
    <n v="15"/>
    <x v="0"/>
    <s v="15B"/>
    <x v="11"/>
    <n v="1"/>
    <n v="7"/>
    <x v="0"/>
    <x v="0"/>
  </r>
  <r>
    <n v="10707"/>
    <n v="114889743"/>
    <s v="Recovery"/>
    <n v="200"/>
    <s v="AHY"/>
    <s v="F"/>
    <n v="11"/>
    <n v="2017"/>
    <n v="2017"/>
    <n v="13"/>
    <x v="0"/>
    <s v="13B"/>
    <x v="13"/>
    <n v="1"/>
    <n v="7"/>
    <x v="0"/>
    <x v="0"/>
  </r>
  <r>
    <n v="10718"/>
    <n v="114889754"/>
    <s v="Recovery"/>
    <n v="200"/>
    <s v="AHY"/>
    <s v="M"/>
    <n v="12"/>
    <n v="2014"/>
    <n v="2014"/>
    <n v="10"/>
    <x v="0"/>
    <s v="10B"/>
    <x v="7"/>
    <n v="1"/>
    <n v="7"/>
    <x v="0"/>
    <x v="0"/>
  </r>
  <r>
    <n v="10721"/>
    <n v="114889757"/>
    <s v="Recovery"/>
    <n v="200"/>
    <s v="HY"/>
    <s v="F"/>
    <n v="2"/>
    <n v="2014"/>
    <n v="2013"/>
    <n v="9"/>
    <x v="0"/>
    <s v="9B"/>
    <x v="4"/>
    <n v="1"/>
    <n v="7"/>
    <x v="0"/>
    <x v="0"/>
  </r>
  <r>
    <n v="10726"/>
    <n v="114889762"/>
    <s v="Recovery"/>
    <n v="200"/>
    <s v="AHY"/>
    <s v="F"/>
    <n v="9"/>
    <n v="2015"/>
    <n v="2015"/>
    <n v="11"/>
    <x v="0"/>
    <s v="11B"/>
    <x v="14"/>
    <n v="1"/>
    <n v="7"/>
    <x v="0"/>
    <x v="0"/>
  </r>
  <r>
    <n v="10727"/>
    <n v="114889763"/>
    <s v="Recovery"/>
    <n v="200"/>
    <s v="AHY"/>
    <s v="M"/>
    <n v="9"/>
    <n v="2014"/>
    <n v="2014"/>
    <n v="10"/>
    <x v="0"/>
    <s v="10B"/>
    <x v="7"/>
    <n v="1"/>
    <n v="7"/>
    <x v="0"/>
    <x v="0"/>
  </r>
  <r>
    <n v="10729"/>
    <n v="114889765"/>
    <s v="Recovery"/>
    <n v="200"/>
    <s v="AHY"/>
    <s v="M"/>
    <n v="1"/>
    <n v="2016"/>
    <n v="2015"/>
    <n v="11"/>
    <x v="0"/>
    <s v="11B"/>
    <x v="14"/>
    <n v="1"/>
    <n v="7"/>
    <x v="0"/>
    <x v="0"/>
  </r>
  <r>
    <n v="10733"/>
    <n v="114889769"/>
    <s v="Recovery"/>
    <n v="200"/>
    <s v="AHY"/>
    <s v="F"/>
    <n v="1"/>
    <n v="2014"/>
    <n v="2013"/>
    <n v="9"/>
    <x v="0"/>
    <s v="9B"/>
    <x v="4"/>
    <n v="1"/>
    <n v="7"/>
    <x v="0"/>
    <x v="0"/>
  </r>
  <r>
    <n v="10734"/>
    <n v="114889770"/>
    <s v="Recovery"/>
    <n v="200"/>
    <s v="AHY"/>
    <s v="M"/>
    <n v="9"/>
    <n v="2014"/>
    <n v="2014"/>
    <n v="10"/>
    <x v="0"/>
    <s v="10B"/>
    <x v="7"/>
    <n v="1"/>
    <n v="7"/>
    <x v="0"/>
    <x v="0"/>
  </r>
  <r>
    <n v="10735"/>
    <n v="114889771"/>
    <s v="Recovery"/>
    <n v="200"/>
    <s v="AHY"/>
    <s v="M"/>
    <n v="9"/>
    <n v="2016"/>
    <n v="2016"/>
    <n v="12"/>
    <x v="0"/>
    <s v="12B"/>
    <x v="12"/>
    <n v="1"/>
    <n v="7"/>
    <x v="0"/>
    <x v="0"/>
  </r>
  <r>
    <n v="10736"/>
    <n v="114889772"/>
    <s v="Recovery"/>
    <n v="200"/>
    <s v="AHY"/>
    <s v="F"/>
    <n v="1"/>
    <n v="2015"/>
    <n v="2014"/>
    <n v="10"/>
    <x v="0"/>
    <s v="10B"/>
    <x v="7"/>
    <n v="1"/>
    <n v="7"/>
    <x v="0"/>
    <x v="0"/>
  </r>
  <r>
    <n v="10737"/>
    <n v="114889773"/>
    <s v="Recovery"/>
    <n v="200"/>
    <s v="AHY"/>
    <s v="F"/>
    <n v="11"/>
    <n v="2016"/>
    <n v="2016"/>
    <n v="12"/>
    <x v="0"/>
    <s v="12B"/>
    <x v="12"/>
    <n v="1"/>
    <n v="7"/>
    <x v="0"/>
    <x v="0"/>
  </r>
  <r>
    <n v="10739"/>
    <n v="114889775"/>
    <s v="Recovery"/>
    <n v="200"/>
    <s v="AHY"/>
    <s v="M"/>
    <n v="9"/>
    <n v="2016"/>
    <n v="2016"/>
    <n v="12"/>
    <x v="0"/>
    <s v="12B"/>
    <x v="12"/>
    <n v="1"/>
    <n v="7"/>
    <x v="0"/>
    <x v="0"/>
  </r>
  <r>
    <n v="10745"/>
    <n v="114889781"/>
    <s v="Recovery"/>
    <n v="200"/>
    <s v="AHY"/>
    <s v="M"/>
    <n v="1"/>
    <n v="2019"/>
    <n v="2018"/>
    <n v="14"/>
    <x v="0"/>
    <s v="14B"/>
    <x v="10"/>
    <n v="1"/>
    <n v="7"/>
    <x v="0"/>
    <x v="0"/>
  </r>
  <r>
    <n v="10752"/>
    <n v="114889788"/>
    <s v="Recovery"/>
    <n v="200"/>
    <s v="AHY"/>
    <s v="F"/>
    <n v="12"/>
    <n v="2013"/>
    <n v="2013"/>
    <n v="9"/>
    <x v="0"/>
    <s v="9B"/>
    <x v="4"/>
    <n v="1"/>
    <n v="7"/>
    <x v="0"/>
    <x v="0"/>
  </r>
  <r>
    <n v="10753"/>
    <n v="114889789"/>
    <s v="Recovery"/>
    <n v="200"/>
    <s v="AHY"/>
    <s v="F"/>
    <n v="1"/>
    <n v="2021"/>
    <n v="2020"/>
    <n v="16"/>
    <x v="0"/>
    <s v="16B"/>
    <x v="15"/>
    <n v="1"/>
    <n v="7"/>
    <x v="0"/>
    <x v="0"/>
  </r>
  <r>
    <n v="10761"/>
    <n v="114889797"/>
    <s v="Recovery"/>
    <n v="200"/>
    <s v="AHY"/>
    <s v="F"/>
    <n v="9"/>
    <n v="2015"/>
    <n v="2015"/>
    <n v="11"/>
    <x v="0"/>
    <s v="11B"/>
    <x v="14"/>
    <n v="1"/>
    <n v="7"/>
    <x v="0"/>
    <x v="0"/>
  </r>
  <r>
    <n v="10766"/>
    <n v="114889802"/>
    <s v="Recovery"/>
    <n v="200"/>
    <s v="AHY"/>
    <s v="M"/>
    <n v="11"/>
    <n v="2017"/>
    <n v="2017"/>
    <n v="13"/>
    <x v="0"/>
    <s v="13B"/>
    <x v="13"/>
    <n v="1"/>
    <n v="7"/>
    <x v="0"/>
    <x v="0"/>
  </r>
  <r>
    <n v="10772"/>
    <n v="114889808"/>
    <s v="Recovery"/>
    <n v="200"/>
    <s v="AHY"/>
    <s v="F"/>
    <n v="12"/>
    <n v="2014"/>
    <n v="2014"/>
    <n v="10"/>
    <x v="0"/>
    <s v="10B"/>
    <x v="7"/>
    <n v="1"/>
    <n v="7"/>
    <x v="0"/>
    <x v="0"/>
  </r>
  <r>
    <n v="10779"/>
    <n v="114889815"/>
    <s v="Recovery"/>
    <n v="200"/>
    <s v="AHY"/>
    <s v="F"/>
    <n v="1"/>
    <n v="2015"/>
    <n v="2014"/>
    <n v="10"/>
    <x v="0"/>
    <s v="10B"/>
    <x v="7"/>
    <n v="1"/>
    <n v="7"/>
    <x v="0"/>
    <x v="0"/>
  </r>
  <r>
    <n v="10780"/>
    <n v="114889816"/>
    <s v="Recovery"/>
    <n v="200"/>
    <s v="AHY"/>
    <s v="F"/>
    <n v="1"/>
    <n v="2017"/>
    <n v="2016"/>
    <n v="12"/>
    <x v="0"/>
    <s v="12B"/>
    <x v="12"/>
    <n v="1"/>
    <n v="7"/>
    <x v="0"/>
    <x v="0"/>
  </r>
  <r>
    <n v="10793"/>
    <n v="114889829"/>
    <s v="Recovery"/>
    <n v="200"/>
    <s v="AHY"/>
    <s v="M"/>
    <n v="9"/>
    <n v="2015"/>
    <n v="2015"/>
    <n v="11"/>
    <x v="0"/>
    <s v="11B"/>
    <x v="14"/>
    <n v="1"/>
    <n v="7"/>
    <x v="0"/>
    <x v="0"/>
  </r>
  <r>
    <n v="10795"/>
    <n v="114889831"/>
    <s v="Recovery"/>
    <n v="200"/>
    <s v="AHY"/>
    <s v="F"/>
    <n v="1"/>
    <n v="2018"/>
    <n v="2017"/>
    <n v="13"/>
    <x v="0"/>
    <s v="13B"/>
    <x v="13"/>
    <n v="1"/>
    <n v="7"/>
    <x v="0"/>
    <x v="0"/>
  </r>
  <r>
    <n v="10799"/>
    <n v="114889835"/>
    <s v="Recovery"/>
    <n v="200"/>
    <s v="AHY"/>
    <s v="F"/>
    <n v="9"/>
    <n v="2019"/>
    <n v="2019"/>
    <n v="15"/>
    <x v="0"/>
    <s v="15B"/>
    <x v="11"/>
    <n v="1"/>
    <n v="7"/>
    <x v="0"/>
    <x v="0"/>
  </r>
  <r>
    <n v="10805"/>
    <n v="114889841"/>
    <s v="Recovery"/>
    <n v="200"/>
    <s v="AHY"/>
    <s v="M"/>
    <n v="9"/>
    <n v="2014"/>
    <n v="2014"/>
    <n v="10"/>
    <x v="0"/>
    <s v="10B"/>
    <x v="7"/>
    <n v="1"/>
    <n v="7"/>
    <x v="0"/>
    <x v="0"/>
  </r>
  <r>
    <n v="10812"/>
    <n v="114889848"/>
    <s v="Recovery"/>
    <n v="200"/>
    <s v="AHY"/>
    <s v="F"/>
    <n v="1"/>
    <n v="2020"/>
    <n v="2019"/>
    <n v="15"/>
    <x v="0"/>
    <s v="15B"/>
    <x v="11"/>
    <n v="1"/>
    <n v="7"/>
    <x v="0"/>
    <x v="0"/>
  </r>
  <r>
    <n v="10813"/>
    <n v="114889849"/>
    <s v="Recovery"/>
    <n v="200"/>
    <s v="HY"/>
    <s v="M"/>
    <n v="1"/>
    <n v="2014"/>
    <n v="2013"/>
    <n v="9"/>
    <x v="0"/>
    <s v="9B"/>
    <x v="4"/>
    <n v="1"/>
    <n v="7"/>
    <x v="0"/>
    <x v="0"/>
  </r>
  <r>
    <n v="10820"/>
    <n v="114889856"/>
    <s v="Recovery"/>
    <n v="200"/>
    <s v="AHY"/>
    <s v="M"/>
    <n v="9"/>
    <n v="2014"/>
    <n v="2014"/>
    <n v="10"/>
    <x v="0"/>
    <s v="10B"/>
    <x v="7"/>
    <n v="1"/>
    <n v="7"/>
    <x v="0"/>
    <x v="0"/>
  </r>
  <r>
    <n v="10826"/>
    <n v="114889862"/>
    <s v="Recovery"/>
    <n v="200"/>
    <s v="AHY"/>
    <s v="F"/>
    <n v="9"/>
    <n v="2015"/>
    <n v="2015"/>
    <n v="11"/>
    <x v="0"/>
    <s v="11B"/>
    <x v="14"/>
    <n v="1"/>
    <n v="7"/>
    <x v="0"/>
    <x v="0"/>
  </r>
  <r>
    <n v="10828"/>
    <n v="114889864"/>
    <s v="Recovery"/>
    <n v="200"/>
    <s v="AHY"/>
    <s v="M"/>
    <n v="9"/>
    <n v="2016"/>
    <n v="2016"/>
    <n v="12"/>
    <x v="0"/>
    <s v="12B"/>
    <x v="12"/>
    <n v="1"/>
    <n v="7"/>
    <x v="0"/>
    <x v="0"/>
  </r>
  <r>
    <n v="10832"/>
    <n v="114889868"/>
    <s v="Recovery"/>
    <n v="200"/>
    <s v="AHY"/>
    <s v="F"/>
    <n v="9"/>
    <n v="2016"/>
    <n v="2016"/>
    <n v="12"/>
    <x v="0"/>
    <s v="12B"/>
    <x v="12"/>
    <n v="1"/>
    <n v="7"/>
    <x v="0"/>
    <x v="0"/>
  </r>
  <r>
    <n v="10833"/>
    <n v="114889869"/>
    <s v="Recovery"/>
    <n v="200"/>
    <s v="AHY"/>
    <s v="M"/>
    <n v="9"/>
    <n v="2020"/>
    <n v="2020"/>
    <n v="16"/>
    <x v="0"/>
    <s v="16B"/>
    <x v="15"/>
    <n v="1"/>
    <n v="7"/>
    <x v="0"/>
    <x v="0"/>
  </r>
  <r>
    <n v="10837"/>
    <n v="114889873"/>
    <s v="Recovery"/>
    <n v="200"/>
    <s v="AHY"/>
    <s v="F"/>
    <n v="11"/>
    <n v="2013"/>
    <n v="2013"/>
    <n v="9"/>
    <x v="0"/>
    <s v="9B"/>
    <x v="4"/>
    <n v="1"/>
    <n v="7"/>
    <x v="0"/>
    <x v="0"/>
  </r>
  <r>
    <n v="10838"/>
    <n v="114889874"/>
    <s v="Recovery"/>
    <n v="200"/>
    <s v="AHY"/>
    <s v="F"/>
    <n v="11"/>
    <n v="2014"/>
    <n v="2014"/>
    <n v="10"/>
    <x v="0"/>
    <s v="10B"/>
    <x v="7"/>
    <n v="1"/>
    <n v="7"/>
    <x v="0"/>
    <x v="0"/>
  </r>
  <r>
    <n v="10839"/>
    <n v="114889875"/>
    <s v="Recovery"/>
    <n v="200"/>
    <s v="AHY"/>
    <s v="M"/>
    <n v="1"/>
    <n v="2017"/>
    <n v="2016"/>
    <n v="12"/>
    <x v="0"/>
    <s v="12B"/>
    <x v="12"/>
    <n v="1"/>
    <n v="7"/>
    <x v="0"/>
    <x v="0"/>
  </r>
  <r>
    <n v="10844"/>
    <n v="114889880"/>
    <s v="Recovery"/>
    <n v="200"/>
    <s v="AHY"/>
    <s v="F"/>
    <n v="9"/>
    <n v="2014"/>
    <n v="2014"/>
    <n v="10"/>
    <x v="0"/>
    <s v="10B"/>
    <x v="7"/>
    <n v="1"/>
    <n v="7"/>
    <x v="0"/>
    <x v="0"/>
  </r>
  <r>
    <n v="10845"/>
    <n v="114889881"/>
    <s v="Recovery"/>
    <n v="200"/>
    <s v="AHY"/>
    <s v="F"/>
    <n v="1"/>
    <n v="2014"/>
    <n v="2013"/>
    <n v="9"/>
    <x v="0"/>
    <s v="9B"/>
    <x v="4"/>
    <n v="1"/>
    <n v="7"/>
    <x v="0"/>
    <x v="0"/>
  </r>
  <r>
    <n v="10847"/>
    <n v="114889883"/>
    <s v="Recovery"/>
    <n v="200"/>
    <s v="AHY"/>
    <s v="F"/>
    <n v="12"/>
    <n v="2014"/>
    <n v="2014"/>
    <n v="10"/>
    <x v="0"/>
    <s v="10B"/>
    <x v="7"/>
    <n v="1"/>
    <n v="7"/>
    <x v="0"/>
    <x v="0"/>
  </r>
  <r>
    <n v="10848"/>
    <n v="114889884"/>
    <s v="Recovery"/>
    <n v="200"/>
    <s v="AHY"/>
    <s v="M"/>
    <n v="1"/>
    <n v="2014"/>
    <n v="2013"/>
    <n v="9"/>
    <x v="0"/>
    <s v="9B"/>
    <x v="4"/>
    <n v="1"/>
    <n v="7"/>
    <x v="0"/>
    <x v="0"/>
  </r>
  <r>
    <n v="10852"/>
    <n v="114889888"/>
    <s v="Recovery"/>
    <n v="200"/>
    <s v="AHY"/>
    <s v="M"/>
    <n v="9"/>
    <n v="2014"/>
    <n v="2014"/>
    <n v="10"/>
    <x v="0"/>
    <s v="10B"/>
    <x v="7"/>
    <n v="1"/>
    <n v="7"/>
    <x v="0"/>
    <x v="0"/>
  </r>
  <r>
    <n v="10855"/>
    <n v="114889891"/>
    <s v="Recovery"/>
    <n v="200"/>
    <s v="AHY"/>
    <s v="M"/>
    <n v="1"/>
    <n v="2014"/>
    <n v="2013"/>
    <n v="9"/>
    <x v="0"/>
    <s v="9B"/>
    <x v="4"/>
    <n v="1"/>
    <n v="7"/>
    <x v="0"/>
    <x v="0"/>
  </r>
  <r>
    <n v="10856"/>
    <n v="114889892"/>
    <s v="Recovery"/>
    <n v="200"/>
    <s v="AHY"/>
    <s v="M"/>
    <n v="12"/>
    <n v="2014"/>
    <n v="2014"/>
    <n v="10"/>
    <x v="0"/>
    <s v="10B"/>
    <x v="7"/>
    <n v="1"/>
    <n v="7"/>
    <x v="0"/>
    <x v="0"/>
  </r>
  <r>
    <n v="10859"/>
    <n v="114889895"/>
    <s v="Recovery"/>
    <n v="200"/>
    <s v="AHY"/>
    <s v="F"/>
    <n v="9"/>
    <n v="2016"/>
    <n v="2016"/>
    <n v="12"/>
    <x v="0"/>
    <s v="12B"/>
    <x v="12"/>
    <n v="1"/>
    <n v="7"/>
    <x v="0"/>
    <x v="0"/>
  </r>
  <r>
    <n v="10861"/>
    <n v="114889897"/>
    <s v="Recovery"/>
    <n v="200"/>
    <s v="AHY"/>
    <s v="F"/>
    <n v="1"/>
    <n v="2015"/>
    <n v="2014"/>
    <n v="10"/>
    <x v="0"/>
    <s v="10B"/>
    <x v="7"/>
    <n v="1"/>
    <n v="7"/>
    <x v="0"/>
    <x v="0"/>
  </r>
  <r>
    <n v="10863"/>
    <n v="114889899"/>
    <s v="Recovery"/>
    <n v="200"/>
    <s v="AHY"/>
    <s v="F"/>
    <n v="1"/>
    <n v="2016"/>
    <n v="2015"/>
    <n v="11"/>
    <x v="0"/>
    <s v="11B"/>
    <x v="14"/>
    <n v="1"/>
    <n v="7"/>
    <x v="0"/>
    <x v="0"/>
  </r>
  <r>
    <n v="10865"/>
    <n v="114889901"/>
    <s v="Recovery"/>
    <n v="200"/>
    <s v="AHY"/>
    <s v="M"/>
    <n v="9"/>
    <n v="2014"/>
    <n v="2014"/>
    <n v="10"/>
    <x v="0"/>
    <s v="10B"/>
    <x v="7"/>
    <n v="1"/>
    <n v="7"/>
    <x v="0"/>
    <x v="0"/>
  </r>
  <r>
    <n v="10866"/>
    <n v="114889902"/>
    <s v="Recovery"/>
    <n v="200"/>
    <s v="AHY"/>
    <s v="F"/>
    <n v="1"/>
    <n v="2016"/>
    <n v="2015"/>
    <n v="11"/>
    <x v="0"/>
    <s v="11B"/>
    <x v="14"/>
    <n v="1"/>
    <n v="7"/>
    <x v="0"/>
    <x v="0"/>
  </r>
  <r>
    <n v="10867"/>
    <n v="114889903"/>
    <s v="Recovery"/>
    <n v="200"/>
    <s v="AHY"/>
    <s v="M"/>
    <n v="12"/>
    <n v="2013"/>
    <n v="2013"/>
    <n v="9"/>
    <x v="0"/>
    <s v="9B"/>
    <x v="4"/>
    <n v="1"/>
    <n v="7"/>
    <x v="0"/>
    <x v="0"/>
  </r>
  <r>
    <n v="10871"/>
    <n v="114889907"/>
    <s v="Recovery"/>
    <n v="200"/>
    <s v="AHY"/>
    <s v="M"/>
    <n v="12"/>
    <n v="2013"/>
    <n v="2013"/>
    <n v="9"/>
    <x v="0"/>
    <s v="9B"/>
    <x v="4"/>
    <n v="1"/>
    <n v="7"/>
    <x v="0"/>
    <x v="0"/>
  </r>
  <r>
    <n v="10872"/>
    <n v="114889908"/>
    <s v="Recovery"/>
    <n v="200"/>
    <s v="AHY"/>
    <s v="F"/>
    <n v="12"/>
    <n v="2017"/>
    <n v="2017"/>
    <n v="13"/>
    <x v="0"/>
    <s v="13B"/>
    <x v="13"/>
    <n v="1"/>
    <n v="7"/>
    <x v="0"/>
    <x v="0"/>
  </r>
  <r>
    <n v="10876"/>
    <n v="114889912"/>
    <s v="Recovery"/>
    <n v="200"/>
    <s v="AHY"/>
    <s v="M"/>
    <n v="9"/>
    <n v="2016"/>
    <n v="2016"/>
    <n v="12"/>
    <x v="0"/>
    <s v="12B"/>
    <x v="12"/>
    <n v="1"/>
    <n v="7"/>
    <x v="0"/>
    <x v="0"/>
  </r>
  <r>
    <n v="10878"/>
    <n v="114889914"/>
    <s v="Recovery"/>
    <n v="200"/>
    <s v="AHY"/>
    <s v="F"/>
    <n v="12"/>
    <n v="2013"/>
    <n v="2013"/>
    <n v="9"/>
    <x v="0"/>
    <s v="9B"/>
    <x v="4"/>
    <n v="1"/>
    <n v="7"/>
    <x v="0"/>
    <x v="0"/>
  </r>
  <r>
    <n v="10880"/>
    <n v="114889916"/>
    <s v="Recovery"/>
    <n v="200"/>
    <s v="AHY"/>
    <s v="F"/>
    <n v="1"/>
    <n v="2014"/>
    <n v="2013"/>
    <n v="9"/>
    <x v="0"/>
    <s v="9B"/>
    <x v="4"/>
    <n v="1"/>
    <n v="7"/>
    <x v="0"/>
    <x v="0"/>
  </r>
  <r>
    <n v="10881"/>
    <n v="114889917"/>
    <s v="Recovery"/>
    <n v="200"/>
    <s v="AHY"/>
    <s v="M"/>
    <n v="9"/>
    <n v="2014"/>
    <n v="2014"/>
    <n v="10"/>
    <x v="0"/>
    <s v="10B"/>
    <x v="7"/>
    <n v="1"/>
    <n v="7"/>
    <x v="0"/>
    <x v="0"/>
  </r>
  <r>
    <n v="10889"/>
    <n v="114889925"/>
    <s v="Recovery"/>
    <n v="200"/>
    <s v="AHY"/>
    <s v="M"/>
    <n v="2"/>
    <n v="2014"/>
    <n v="2013"/>
    <n v="9"/>
    <x v="0"/>
    <s v="9B"/>
    <x v="4"/>
    <n v="1"/>
    <n v="7"/>
    <x v="0"/>
    <x v="0"/>
  </r>
  <r>
    <n v="10892"/>
    <n v="114889928"/>
    <s v="Recovery"/>
    <n v="200"/>
    <s v="AHY"/>
    <s v="F"/>
    <n v="1"/>
    <n v="2015"/>
    <n v="2014"/>
    <n v="10"/>
    <x v="0"/>
    <s v="10B"/>
    <x v="7"/>
    <n v="1"/>
    <n v="7"/>
    <x v="0"/>
    <x v="0"/>
  </r>
  <r>
    <n v="10894"/>
    <n v="114889930"/>
    <s v="Recovery"/>
    <n v="200"/>
    <s v="AHY"/>
    <s v="F"/>
    <n v="12"/>
    <n v="2013"/>
    <n v="2013"/>
    <n v="9"/>
    <x v="0"/>
    <s v="9B"/>
    <x v="4"/>
    <n v="1"/>
    <n v="7"/>
    <x v="0"/>
    <x v="0"/>
  </r>
  <r>
    <n v="10903"/>
    <n v="114889939"/>
    <s v="Recovery"/>
    <n v="200"/>
    <s v="AHY"/>
    <s v="M"/>
    <n v="1"/>
    <n v="2018"/>
    <n v="2017"/>
    <n v="13"/>
    <x v="0"/>
    <s v="13B"/>
    <x v="13"/>
    <n v="1"/>
    <n v="7"/>
    <x v="0"/>
    <x v="0"/>
  </r>
  <r>
    <n v="10905"/>
    <n v="114889941"/>
    <s v="Recovery"/>
    <n v="200"/>
    <s v="AHY"/>
    <s v="F"/>
    <n v="9"/>
    <n v="2014"/>
    <n v="2014"/>
    <n v="10"/>
    <x v="0"/>
    <s v="10B"/>
    <x v="7"/>
    <n v="1"/>
    <n v="7"/>
    <x v="0"/>
    <x v="0"/>
  </r>
  <r>
    <n v="10906"/>
    <n v="114889942"/>
    <s v="Recovery"/>
    <n v="200"/>
    <s v="AHY"/>
    <s v="F"/>
    <n v="11"/>
    <n v="2014"/>
    <n v="2014"/>
    <n v="10"/>
    <x v="0"/>
    <s v="10B"/>
    <x v="7"/>
    <n v="1"/>
    <n v="7"/>
    <x v="0"/>
    <x v="0"/>
  </r>
  <r>
    <n v="10909"/>
    <n v="114889945"/>
    <s v="Recovery"/>
    <n v="200"/>
    <s v="AHY"/>
    <s v="F"/>
    <n v="12"/>
    <n v="2015"/>
    <n v="2015"/>
    <n v="11"/>
    <x v="0"/>
    <s v="11B"/>
    <x v="14"/>
    <n v="1"/>
    <n v="7"/>
    <x v="0"/>
    <x v="0"/>
  </r>
  <r>
    <n v="10918"/>
    <n v="114889954"/>
    <s v="Recovery"/>
    <n v="200"/>
    <s v="HY"/>
    <s v="F"/>
    <n v="1"/>
    <n v="2014"/>
    <n v="2013"/>
    <n v="9"/>
    <x v="0"/>
    <s v="9B"/>
    <x v="4"/>
    <n v="1"/>
    <n v="7"/>
    <x v="0"/>
    <x v="0"/>
  </r>
  <r>
    <n v="10919"/>
    <n v="114889955"/>
    <s v="Recovery"/>
    <n v="200"/>
    <s v="AHY"/>
    <s v="F"/>
    <n v="1"/>
    <n v="2014"/>
    <n v="2013"/>
    <n v="9"/>
    <x v="0"/>
    <s v="9B"/>
    <x v="4"/>
    <n v="1"/>
    <n v="7"/>
    <x v="0"/>
    <x v="0"/>
  </r>
  <r>
    <n v="10926"/>
    <n v="114889962"/>
    <s v="Recovery"/>
    <n v="200"/>
    <s v="AHY"/>
    <s v="M"/>
    <n v="9"/>
    <n v="2014"/>
    <n v="2014"/>
    <n v="10"/>
    <x v="0"/>
    <s v="10B"/>
    <x v="7"/>
    <n v="1"/>
    <n v="7"/>
    <x v="0"/>
    <x v="0"/>
  </r>
  <r>
    <n v="10932"/>
    <n v="114889968"/>
    <s v="Recovery"/>
    <n v="200"/>
    <s v="AHY"/>
    <s v="F"/>
    <n v="12"/>
    <n v="2015"/>
    <n v="2015"/>
    <n v="11"/>
    <x v="0"/>
    <s v="11B"/>
    <x v="14"/>
    <n v="1"/>
    <n v="7"/>
    <x v="0"/>
    <x v="0"/>
  </r>
  <r>
    <n v="10940"/>
    <n v="114889976"/>
    <s v="Recovery"/>
    <n v="200"/>
    <s v="AHY"/>
    <s v="M"/>
    <n v="9"/>
    <n v="2014"/>
    <n v="2014"/>
    <n v="10"/>
    <x v="0"/>
    <s v="10B"/>
    <x v="7"/>
    <n v="1"/>
    <n v="7"/>
    <x v="0"/>
    <x v="0"/>
  </r>
  <r>
    <n v="10946"/>
    <n v="114889982"/>
    <s v="Recovery"/>
    <n v="200"/>
    <s v="AHY"/>
    <s v="M"/>
    <n v="1"/>
    <n v="2016"/>
    <n v="2015"/>
    <n v="11"/>
    <x v="0"/>
    <s v="11B"/>
    <x v="14"/>
    <n v="1"/>
    <n v="7"/>
    <x v="0"/>
    <x v="0"/>
  </r>
  <r>
    <n v="10947"/>
    <n v="114889983"/>
    <s v="Recovery"/>
    <n v="200"/>
    <s v="AHY"/>
    <s v="M"/>
    <n v="1"/>
    <n v="2016"/>
    <n v="2015"/>
    <n v="11"/>
    <x v="0"/>
    <s v="11B"/>
    <x v="14"/>
    <n v="1"/>
    <n v="7"/>
    <x v="0"/>
    <x v="0"/>
  </r>
  <r>
    <n v="10952"/>
    <n v="114889988"/>
    <s v="Recovery"/>
    <n v="200"/>
    <s v="AHY"/>
    <s v="F"/>
    <n v="9"/>
    <n v="2014"/>
    <n v="2014"/>
    <n v="10"/>
    <x v="0"/>
    <s v="10B"/>
    <x v="7"/>
    <n v="1"/>
    <n v="7"/>
    <x v="0"/>
    <x v="0"/>
  </r>
  <r>
    <n v="10954"/>
    <n v="114889990"/>
    <s v="Recovery"/>
    <n v="200"/>
    <s v="AHY"/>
    <s v="M"/>
    <n v="12"/>
    <n v="2015"/>
    <n v="2015"/>
    <n v="11"/>
    <x v="0"/>
    <s v="11B"/>
    <x v="14"/>
    <n v="1"/>
    <n v="7"/>
    <x v="0"/>
    <x v="0"/>
  </r>
  <r>
    <n v="10959"/>
    <n v="114889995"/>
    <s v="Recovery"/>
    <n v="200"/>
    <s v="AHY"/>
    <s v="M"/>
    <n v="9"/>
    <n v="2014"/>
    <n v="2014"/>
    <n v="10"/>
    <x v="0"/>
    <s v="10B"/>
    <x v="7"/>
    <n v="1"/>
    <n v="7"/>
    <x v="0"/>
    <x v="0"/>
  </r>
  <r>
    <n v="10965"/>
    <n v="114890001"/>
    <s v="Recovery"/>
    <n v="200"/>
    <s v="AHY"/>
    <s v="M"/>
    <n v="1"/>
    <n v="2017"/>
    <n v="2016"/>
    <n v="12"/>
    <x v="0"/>
    <s v="12B"/>
    <x v="12"/>
    <n v="1"/>
    <n v="7"/>
    <x v="0"/>
    <x v="0"/>
  </r>
  <r>
    <n v="10967"/>
    <n v="114890003"/>
    <s v="Recovery"/>
    <n v="200"/>
    <s v="AHY"/>
    <s v="M"/>
    <n v="12"/>
    <n v="2015"/>
    <n v="2015"/>
    <n v="11"/>
    <x v="0"/>
    <s v="11B"/>
    <x v="14"/>
    <n v="1"/>
    <n v="7"/>
    <x v="0"/>
    <x v="0"/>
  </r>
  <r>
    <n v="10968"/>
    <n v="114890004"/>
    <s v="Recovery"/>
    <n v="200"/>
    <s v="AHY"/>
    <s v="F"/>
    <n v="1"/>
    <n v="2017"/>
    <n v="2016"/>
    <n v="12"/>
    <x v="0"/>
    <s v="12B"/>
    <x v="12"/>
    <n v="1"/>
    <n v="7"/>
    <x v="0"/>
    <x v="0"/>
  </r>
  <r>
    <n v="10973"/>
    <n v="114890009"/>
    <s v="Recovery"/>
    <n v="200"/>
    <s v="AHY"/>
    <s v="M"/>
    <n v="12"/>
    <n v="2014"/>
    <n v="2014"/>
    <n v="10"/>
    <x v="0"/>
    <s v="10B"/>
    <x v="7"/>
    <n v="1"/>
    <n v="7"/>
    <x v="0"/>
    <x v="0"/>
  </r>
  <r>
    <n v="10982"/>
    <n v="114890018"/>
    <s v="Recovery"/>
    <n v="200"/>
    <s v="AHY"/>
    <s v="M"/>
    <n v="1"/>
    <n v="2014"/>
    <n v="2013"/>
    <n v="9"/>
    <x v="0"/>
    <s v="9B"/>
    <x v="4"/>
    <n v="1"/>
    <n v="7"/>
    <x v="0"/>
    <x v="0"/>
  </r>
  <r>
    <n v="10983"/>
    <n v="114890019"/>
    <s v="Recovery"/>
    <n v="200"/>
    <s v="AHY"/>
    <s v="F"/>
    <n v="9"/>
    <n v="2019"/>
    <n v="2019"/>
    <n v="15"/>
    <x v="0"/>
    <s v="15B"/>
    <x v="11"/>
    <n v="1"/>
    <n v="82"/>
    <x v="15"/>
    <x v="1"/>
  </r>
  <r>
    <n v="10984"/>
    <n v="114890020"/>
    <s v="Recovery"/>
    <n v="200"/>
    <s v="AHY"/>
    <s v="F"/>
    <n v="1"/>
    <n v="2021"/>
    <n v="2020"/>
    <n v="16"/>
    <x v="0"/>
    <s v="16B"/>
    <x v="15"/>
    <n v="1"/>
    <n v="82"/>
    <x v="15"/>
    <x v="1"/>
  </r>
  <r>
    <n v="10986"/>
    <n v="114890022"/>
    <s v="Recovery"/>
    <n v="200"/>
    <s v="AHY"/>
    <s v="F"/>
    <n v="1"/>
    <n v="2021"/>
    <n v="2020"/>
    <n v="16"/>
    <x v="0"/>
    <s v="16B"/>
    <x v="15"/>
    <n v="1"/>
    <n v="82"/>
    <x v="15"/>
    <x v="1"/>
  </r>
  <r>
    <n v="10989"/>
    <n v="114890025"/>
    <s v="Recovery"/>
    <n v="200"/>
    <s v="AHY"/>
    <s v="M"/>
    <n v="9"/>
    <n v="2019"/>
    <n v="2019"/>
    <n v="15"/>
    <x v="0"/>
    <s v="15B"/>
    <x v="11"/>
    <n v="1"/>
    <n v="7"/>
    <x v="0"/>
    <x v="0"/>
  </r>
  <r>
    <n v="10990"/>
    <n v="114890026"/>
    <s v="Recovery"/>
    <n v="200"/>
    <s v="AHY"/>
    <s v="F"/>
    <n v="1"/>
    <n v="2015"/>
    <n v="2014"/>
    <n v="10"/>
    <x v="0"/>
    <s v="10B"/>
    <x v="7"/>
    <n v="1"/>
    <n v="82"/>
    <x v="15"/>
    <x v="1"/>
  </r>
  <r>
    <n v="10992"/>
    <n v="114890028"/>
    <s v="Recovery"/>
    <n v="200"/>
    <s v="AHY"/>
    <s v="F"/>
    <n v="9"/>
    <n v="2014"/>
    <n v="2014"/>
    <n v="10"/>
    <x v="0"/>
    <s v="10B"/>
    <x v="7"/>
    <n v="1"/>
    <n v="34"/>
    <x v="9"/>
    <x v="1"/>
  </r>
  <r>
    <n v="10994"/>
    <n v="114890030"/>
    <s v="Recovery"/>
    <n v="200"/>
    <s v="AHY"/>
    <s v="F"/>
    <n v="9"/>
    <n v="2018"/>
    <n v="2018"/>
    <n v="14"/>
    <x v="0"/>
    <s v="14B"/>
    <x v="10"/>
    <n v="1"/>
    <n v="82"/>
    <x v="15"/>
    <x v="1"/>
  </r>
  <r>
    <n v="10998"/>
    <n v="114890034"/>
    <s v="Recovery"/>
    <n v="200"/>
    <s v="AHY"/>
    <s v="F"/>
    <n v="9"/>
    <n v="2014"/>
    <n v="2014"/>
    <n v="10"/>
    <x v="0"/>
    <s v="10B"/>
    <x v="7"/>
    <n v="1"/>
    <n v="82"/>
    <x v="15"/>
    <x v="1"/>
  </r>
  <r>
    <n v="11003"/>
    <n v="114890039"/>
    <s v="Recovery"/>
    <n v="200"/>
    <s v="AHY"/>
    <s v="M"/>
    <n v="12"/>
    <n v="2014"/>
    <n v="2014"/>
    <n v="10"/>
    <x v="0"/>
    <s v="10B"/>
    <x v="7"/>
    <n v="1"/>
    <n v="7"/>
    <x v="0"/>
    <x v="0"/>
  </r>
  <r>
    <n v="11009"/>
    <n v="114890045"/>
    <s v="Recovery"/>
    <n v="200"/>
    <s v="AHY"/>
    <s v="M"/>
    <n v="1"/>
    <n v="2018"/>
    <n v="2017"/>
    <n v="13"/>
    <x v="0"/>
    <s v="13B"/>
    <x v="13"/>
    <n v="1"/>
    <n v="82"/>
    <x v="15"/>
    <x v="1"/>
  </r>
  <r>
    <n v="11011"/>
    <n v="114890047"/>
    <s v="Recovery"/>
    <n v="200"/>
    <s v="AHY"/>
    <s v="F"/>
    <n v="1"/>
    <n v="2015"/>
    <n v="2014"/>
    <n v="10"/>
    <x v="0"/>
    <s v="10B"/>
    <x v="7"/>
    <n v="1"/>
    <n v="82"/>
    <x v="15"/>
    <x v="1"/>
  </r>
  <r>
    <n v="11015"/>
    <n v="114890051"/>
    <s v="Recovery"/>
    <n v="200"/>
    <s v="AHY"/>
    <s v="M"/>
    <n v="1"/>
    <n v="2016"/>
    <n v="2015"/>
    <n v="11"/>
    <x v="0"/>
    <s v="11B"/>
    <x v="14"/>
    <n v="1"/>
    <n v="82"/>
    <x v="15"/>
    <x v="1"/>
  </r>
  <r>
    <n v="11027"/>
    <n v="114890063"/>
    <s v="Recovery"/>
    <n v="200"/>
    <s v="AHY"/>
    <s v="M"/>
    <n v="9"/>
    <n v="2013"/>
    <n v="2013"/>
    <n v="9"/>
    <x v="0"/>
    <s v="9B"/>
    <x v="4"/>
    <n v="1"/>
    <n v="82"/>
    <x v="15"/>
    <x v="1"/>
  </r>
  <r>
    <n v="11028"/>
    <n v="114890064"/>
    <s v="Recovery"/>
    <n v="200"/>
    <s v="AHY"/>
    <s v="F"/>
    <n v="9"/>
    <n v="2014"/>
    <n v="2014"/>
    <n v="10"/>
    <x v="0"/>
    <s v="10B"/>
    <x v="7"/>
    <n v="1"/>
    <n v="82"/>
    <x v="15"/>
    <x v="1"/>
  </r>
  <r>
    <n v="11029"/>
    <n v="114890065"/>
    <s v="Recovery"/>
    <n v="200"/>
    <s v="AHY"/>
    <s v="F"/>
    <n v="12"/>
    <n v="2019"/>
    <n v="2019"/>
    <n v="15"/>
    <x v="0"/>
    <s v="15B"/>
    <x v="11"/>
    <n v="1"/>
    <n v="82"/>
    <x v="15"/>
    <x v="1"/>
  </r>
  <r>
    <n v="11035"/>
    <n v="114890071"/>
    <s v="Recovery"/>
    <n v="200"/>
    <s v="AHY"/>
    <s v="F"/>
    <n v="1"/>
    <n v="2016"/>
    <n v="2015"/>
    <n v="11"/>
    <x v="0"/>
    <s v="11B"/>
    <x v="14"/>
    <n v="1"/>
    <n v="82"/>
    <x v="15"/>
    <x v="1"/>
  </r>
  <r>
    <n v="11036"/>
    <n v="114890072"/>
    <s v="Recovery"/>
    <n v="200"/>
    <s v="AHY"/>
    <s v="M"/>
    <n v="1"/>
    <n v="2021"/>
    <n v="2020"/>
    <n v="16"/>
    <x v="0"/>
    <s v="16B"/>
    <x v="15"/>
    <n v="1"/>
    <n v="82"/>
    <x v="15"/>
    <x v="1"/>
  </r>
  <r>
    <n v="11045"/>
    <n v="114890081"/>
    <s v="Recovery"/>
    <n v="200"/>
    <s v="AHY"/>
    <s v="F"/>
    <n v="1"/>
    <n v="2019"/>
    <n v="2018"/>
    <n v="14"/>
    <x v="0"/>
    <s v="14B"/>
    <x v="10"/>
    <n v="1"/>
    <n v="7"/>
    <x v="0"/>
    <x v="0"/>
  </r>
  <r>
    <n v="11046"/>
    <n v="114890082"/>
    <s v="Recovery"/>
    <n v="200"/>
    <s v="AHY"/>
    <s v="F"/>
    <n v="11"/>
    <n v="2013"/>
    <n v="2013"/>
    <n v="9"/>
    <x v="0"/>
    <s v="9B"/>
    <x v="4"/>
    <n v="1"/>
    <n v="51"/>
    <x v="21"/>
    <x v="1"/>
  </r>
  <r>
    <n v="11054"/>
    <n v="114890090"/>
    <s v="Recovery"/>
    <n v="200"/>
    <s v="AHY"/>
    <s v="M"/>
    <n v="9"/>
    <n v="2013"/>
    <n v="2013"/>
    <n v="9"/>
    <x v="0"/>
    <s v="9B"/>
    <x v="4"/>
    <n v="1"/>
    <n v="82"/>
    <x v="15"/>
    <x v="1"/>
  </r>
  <r>
    <n v="11057"/>
    <n v="114890093"/>
    <s v="Recovery"/>
    <n v="200"/>
    <s v="AHY"/>
    <s v="F"/>
    <n v="11"/>
    <n v="2013"/>
    <n v="2013"/>
    <n v="9"/>
    <x v="0"/>
    <s v="9B"/>
    <x v="4"/>
    <n v="1"/>
    <n v="51"/>
    <x v="21"/>
    <x v="1"/>
  </r>
  <r>
    <n v="11062"/>
    <n v="114890098"/>
    <s v="Recovery"/>
    <n v="200"/>
    <s v="AHY"/>
    <s v="F"/>
    <n v="1"/>
    <n v="2014"/>
    <n v="2013"/>
    <n v="9"/>
    <x v="0"/>
    <s v="9B"/>
    <x v="4"/>
    <n v="1"/>
    <n v="7"/>
    <x v="0"/>
    <x v="0"/>
  </r>
  <r>
    <n v="11077"/>
    <n v="114890113"/>
    <s v="Recovery"/>
    <n v="200"/>
    <s v="AHY"/>
    <s v="F"/>
    <n v="9"/>
    <n v="2014"/>
    <n v="2014"/>
    <n v="10"/>
    <x v="0"/>
    <s v="10B"/>
    <x v="7"/>
    <n v="1"/>
    <n v="82"/>
    <x v="15"/>
    <x v="1"/>
  </r>
  <r>
    <n v="11078"/>
    <n v="114890114"/>
    <s v="Recovery"/>
    <n v="200"/>
    <s v="AHY"/>
    <s v="F"/>
    <n v="9"/>
    <n v="2019"/>
    <n v="2019"/>
    <n v="15"/>
    <x v="0"/>
    <s v="15B"/>
    <x v="11"/>
    <n v="1"/>
    <n v="7"/>
    <x v="0"/>
    <x v="0"/>
  </r>
  <r>
    <n v="11079"/>
    <n v="114890115"/>
    <s v="Recovery"/>
    <n v="200"/>
    <s v="AHY"/>
    <s v="F"/>
    <n v="11"/>
    <n v="2014"/>
    <n v="2014"/>
    <n v="10"/>
    <x v="0"/>
    <s v="10B"/>
    <x v="7"/>
    <n v="1"/>
    <n v="51"/>
    <x v="21"/>
    <x v="1"/>
  </r>
  <r>
    <n v="11080"/>
    <n v="114890116"/>
    <s v="Recovery"/>
    <n v="200"/>
    <s v="AHY"/>
    <s v="M"/>
    <n v="9"/>
    <n v="2013"/>
    <n v="2013"/>
    <n v="9"/>
    <x v="0"/>
    <s v="9B"/>
    <x v="4"/>
    <n v="1"/>
    <n v="82"/>
    <x v="15"/>
    <x v="1"/>
  </r>
  <r>
    <n v="11081"/>
    <n v="114890117"/>
    <s v="Recovery"/>
    <n v="200"/>
    <s v="AHY"/>
    <s v="F"/>
    <n v="9"/>
    <n v="2014"/>
    <n v="2014"/>
    <n v="10"/>
    <x v="0"/>
    <s v="10B"/>
    <x v="7"/>
    <n v="1"/>
    <n v="82"/>
    <x v="15"/>
    <x v="1"/>
  </r>
  <r>
    <n v="11082"/>
    <n v="114890118"/>
    <s v="Recovery"/>
    <n v="200"/>
    <s v="AHY"/>
    <s v="M"/>
    <n v="2"/>
    <n v="2021"/>
    <n v="2020"/>
    <n v="16"/>
    <x v="0"/>
    <s v="16B"/>
    <x v="15"/>
    <n v="1"/>
    <n v="82"/>
    <x v="15"/>
    <x v="1"/>
  </r>
  <r>
    <n v="11094"/>
    <n v="114890130"/>
    <s v="Recovery"/>
    <n v="200"/>
    <s v="AHY"/>
    <s v="F"/>
    <n v="9"/>
    <n v="2017"/>
    <n v="2017"/>
    <n v="13"/>
    <x v="0"/>
    <s v="13B"/>
    <x v="13"/>
    <n v="1"/>
    <n v="51"/>
    <x v="21"/>
    <x v="1"/>
  </r>
  <r>
    <n v="11099"/>
    <n v="114890135"/>
    <s v="Recovery"/>
    <n v="200"/>
    <s v="AHY"/>
    <s v="M"/>
    <n v="12"/>
    <n v="2013"/>
    <n v="2013"/>
    <n v="9"/>
    <x v="0"/>
    <s v="9B"/>
    <x v="4"/>
    <n v="1"/>
    <n v="7"/>
    <x v="0"/>
    <x v="0"/>
  </r>
  <r>
    <n v="11102"/>
    <n v="114890138"/>
    <s v="Recovery"/>
    <n v="200"/>
    <s v="AHY"/>
    <s v="F"/>
    <n v="1"/>
    <n v="2016"/>
    <n v="2015"/>
    <n v="11"/>
    <x v="0"/>
    <s v="11B"/>
    <x v="14"/>
    <n v="1"/>
    <n v="82"/>
    <x v="15"/>
    <x v="1"/>
  </r>
  <r>
    <n v="11103"/>
    <n v="114890139"/>
    <s v="Recovery"/>
    <n v="200"/>
    <s v="AHY"/>
    <s v="M"/>
    <n v="1"/>
    <n v="2020"/>
    <n v="2019"/>
    <n v="15"/>
    <x v="0"/>
    <s v="15B"/>
    <x v="11"/>
    <n v="1"/>
    <n v="82"/>
    <x v="15"/>
    <x v="1"/>
  </r>
  <r>
    <n v="11110"/>
    <n v="114890146"/>
    <s v="Recovery"/>
    <n v="200"/>
    <s v="AHY"/>
    <s v="F"/>
    <n v="9"/>
    <n v="2013"/>
    <n v="2013"/>
    <n v="9"/>
    <x v="0"/>
    <s v="9B"/>
    <x v="4"/>
    <n v="1"/>
    <n v="82"/>
    <x v="15"/>
    <x v="1"/>
  </r>
  <r>
    <n v="11113"/>
    <n v="114890149"/>
    <s v="Recovery"/>
    <n v="200"/>
    <s v="AHY"/>
    <s v="F"/>
    <n v="12"/>
    <n v="2013"/>
    <n v="2013"/>
    <n v="9"/>
    <x v="0"/>
    <s v="9B"/>
    <x v="4"/>
    <n v="1"/>
    <n v="82"/>
    <x v="15"/>
    <x v="1"/>
  </r>
  <r>
    <n v="11114"/>
    <n v="114890150"/>
    <s v="Recovery"/>
    <n v="200"/>
    <s v="AHY"/>
    <s v="F"/>
    <n v="2"/>
    <n v="2020"/>
    <n v="2019"/>
    <n v="15"/>
    <x v="0"/>
    <s v="15B"/>
    <x v="11"/>
    <n v="1"/>
    <n v="82"/>
    <x v="15"/>
    <x v="1"/>
  </r>
  <r>
    <n v="11121"/>
    <n v="114890157"/>
    <s v="Recovery"/>
    <n v="200"/>
    <s v="AHY"/>
    <s v="M"/>
    <n v="1"/>
    <n v="2017"/>
    <n v="2016"/>
    <n v="12"/>
    <x v="0"/>
    <s v="12B"/>
    <x v="12"/>
    <n v="1"/>
    <n v="7"/>
    <x v="0"/>
    <x v="0"/>
  </r>
  <r>
    <n v="11126"/>
    <n v="114890162"/>
    <s v="Recovery"/>
    <n v="200"/>
    <s v="AHY"/>
    <s v="M"/>
    <n v="12"/>
    <n v="2017"/>
    <n v="2017"/>
    <n v="13"/>
    <x v="0"/>
    <s v="13B"/>
    <x v="13"/>
    <n v="1"/>
    <n v="82"/>
    <x v="15"/>
    <x v="1"/>
  </r>
  <r>
    <n v="11129"/>
    <n v="114890165"/>
    <s v="Recovery"/>
    <n v="200"/>
    <s v="AHY"/>
    <s v="M"/>
    <n v="1"/>
    <n v="2014"/>
    <n v="2013"/>
    <n v="9"/>
    <x v="0"/>
    <s v="9B"/>
    <x v="4"/>
    <n v="1"/>
    <n v="82"/>
    <x v="15"/>
    <x v="1"/>
  </r>
  <r>
    <n v="11133"/>
    <n v="114890169"/>
    <s v="Recovery"/>
    <n v="200"/>
    <s v="AHY"/>
    <s v="F"/>
    <n v="12"/>
    <n v="2013"/>
    <n v="2013"/>
    <n v="9"/>
    <x v="0"/>
    <s v="9B"/>
    <x v="4"/>
    <n v="1"/>
    <n v="82"/>
    <x v="15"/>
    <x v="1"/>
  </r>
  <r>
    <n v="11144"/>
    <n v="114890180"/>
    <s v="Recovery"/>
    <n v="200"/>
    <s v="AHY"/>
    <s v="F"/>
    <n v="9"/>
    <n v="2019"/>
    <n v="2019"/>
    <n v="15"/>
    <x v="0"/>
    <s v="15B"/>
    <x v="11"/>
    <n v="1"/>
    <n v="7"/>
    <x v="0"/>
    <x v="0"/>
  </r>
  <r>
    <n v="11145"/>
    <n v="114890181"/>
    <s v="Recovery"/>
    <n v="200"/>
    <s v="AHY"/>
    <s v="F"/>
    <n v="12"/>
    <n v="2015"/>
    <n v="2015"/>
    <n v="11"/>
    <x v="0"/>
    <s v="11B"/>
    <x v="14"/>
    <n v="1"/>
    <n v="34"/>
    <x v="9"/>
    <x v="1"/>
  </r>
  <r>
    <n v="11156"/>
    <n v="114890192"/>
    <s v="Recovery"/>
    <n v="200"/>
    <s v="AHY"/>
    <s v="F"/>
    <n v="9"/>
    <n v="2018"/>
    <n v="2018"/>
    <n v="14"/>
    <x v="0"/>
    <s v="14B"/>
    <x v="10"/>
    <n v="1"/>
    <n v="82"/>
    <x v="15"/>
    <x v="1"/>
  </r>
  <r>
    <n v="11162"/>
    <n v="114890198"/>
    <s v="Recovery"/>
    <n v="200"/>
    <s v="AHY"/>
    <s v="F"/>
    <n v="11"/>
    <n v="2014"/>
    <n v="2014"/>
    <n v="10"/>
    <x v="0"/>
    <s v="10B"/>
    <x v="7"/>
    <n v="1"/>
    <n v="51"/>
    <x v="21"/>
    <x v="1"/>
  </r>
  <r>
    <n v="11164"/>
    <n v="114890200"/>
    <s v="Recovery"/>
    <n v="200"/>
    <s v="AHY"/>
    <s v="F"/>
    <n v="1"/>
    <n v="2018"/>
    <n v="2017"/>
    <n v="13"/>
    <x v="0"/>
    <s v="13B"/>
    <x v="13"/>
    <n v="1"/>
    <n v="82"/>
    <x v="15"/>
    <x v="1"/>
  </r>
  <r>
    <n v="11214"/>
    <n v="114890250"/>
    <s v="Recovery"/>
    <n v="200"/>
    <s v="AHY"/>
    <s v="M"/>
    <n v="1"/>
    <n v="2015"/>
    <n v="2014"/>
    <n v="10"/>
    <x v="0"/>
    <s v="10B"/>
    <x v="7"/>
    <n v="1"/>
    <n v="7"/>
    <x v="0"/>
    <x v="0"/>
  </r>
  <r>
    <n v="11216"/>
    <n v="114890252"/>
    <s v="Recovery"/>
    <n v="200"/>
    <s v="AHY"/>
    <s v="M"/>
    <n v="9"/>
    <n v="2014"/>
    <n v="2014"/>
    <n v="10"/>
    <x v="0"/>
    <s v="10B"/>
    <x v="7"/>
    <n v="1"/>
    <n v="7"/>
    <x v="0"/>
    <x v="0"/>
  </r>
  <r>
    <n v="11217"/>
    <n v="114890253"/>
    <s v="Recovery"/>
    <n v="200"/>
    <s v="AHY"/>
    <s v="F"/>
    <n v="1"/>
    <n v="2016"/>
    <n v="2015"/>
    <n v="11"/>
    <x v="0"/>
    <s v="11B"/>
    <x v="14"/>
    <n v="1"/>
    <n v="7"/>
    <x v="0"/>
    <x v="0"/>
  </r>
  <r>
    <n v="11218"/>
    <n v="114890254"/>
    <s v="Recovery"/>
    <n v="200"/>
    <s v="AHY"/>
    <s v="M"/>
    <n v="9"/>
    <n v="2013"/>
    <n v="2013"/>
    <n v="9"/>
    <x v="0"/>
    <s v="9B"/>
    <x v="4"/>
    <n v="1"/>
    <n v="7"/>
    <x v="0"/>
    <x v="0"/>
  </r>
  <r>
    <n v="11221"/>
    <n v="114890257"/>
    <s v="Recovery"/>
    <n v="200"/>
    <s v="AHY"/>
    <s v="F"/>
    <n v="12"/>
    <n v="2013"/>
    <n v="2013"/>
    <n v="9"/>
    <x v="0"/>
    <s v="9B"/>
    <x v="4"/>
    <n v="1"/>
    <n v="7"/>
    <x v="0"/>
    <x v="0"/>
  </r>
  <r>
    <n v="11243"/>
    <n v="114890279"/>
    <s v="Recovery"/>
    <n v="200"/>
    <s v="AHY"/>
    <s v="F"/>
    <n v="9"/>
    <n v="2017"/>
    <n v="2017"/>
    <n v="13"/>
    <x v="0"/>
    <s v="13B"/>
    <x v="13"/>
    <n v="1"/>
    <n v="7"/>
    <x v="0"/>
    <x v="0"/>
  </r>
  <r>
    <n v="11244"/>
    <n v="114890280"/>
    <s v="Recovery"/>
    <n v="200"/>
    <s v="AHY"/>
    <s v="F"/>
    <n v="11"/>
    <n v="2013"/>
    <n v="2013"/>
    <n v="9"/>
    <x v="0"/>
    <s v="9B"/>
    <x v="4"/>
    <n v="1"/>
    <n v="7"/>
    <x v="0"/>
    <x v="0"/>
  </r>
  <r>
    <n v="11247"/>
    <n v="114890283"/>
    <s v="Recovery"/>
    <n v="200"/>
    <s v="AHY"/>
    <s v="F"/>
    <n v="9"/>
    <n v="2013"/>
    <n v="2013"/>
    <n v="9"/>
    <x v="0"/>
    <s v="9B"/>
    <x v="4"/>
    <n v="1"/>
    <n v="7"/>
    <x v="0"/>
    <x v="0"/>
  </r>
  <r>
    <n v="11253"/>
    <n v="114890289"/>
    <s v="Recovery"/>
    <n v="200"/>
    <s v="AHY"/>
    <s v="M"/>
    <n v="1"/>
    <n v="2015"/>
    <n v="2014"/>
    <n v="10"/>
    <x v="0"/>
    <s v="10B"/>
    <x v="7"/>
    <n v="1"/>
    <n v="7"/>
    <x v="0"/>
    <x v="0"/>
  </r>
  <r>
    <n v="11254"/>
    <n v="114890290"/>
    <s v="Recovery"/>
    <n v="200"/>
    <s v="AHY"/>
    <s v="M"/>
    <n v="11"/>
    <n v="2013"/>
    <n v="2013"/>
    <n v="9"/>
    <x v="0"/>
    <s v="9B"/>
    <x v="4"/>
    <n v="1"/>
    <n v="7"/>
    <x v="0"/>
    <x v="0"/>
  </r>
  <r>
    <n v="11259"/>
    <n v="114890295"/>
    <s v="Recovery"/>
    <n v="200"/>
    <s v="AHY"/>
    <s v="F"/>
    <n v="1"/>
    <n v="2016"/>
    <n v="2015"/>
    <n v="11"/>
    <x v="0"/>
    <s v="11B"/>
    <x v="14"/>
    <n v="1"/>
    <n v="7"/>
    <x v="0"/>
    <x v="0"/>
  </r>
  <r>
    <n v="11260"/>
    <n v="114890296"/>
    <s v="Recovery"/>
    <n v="200"/>
    <s v="AHY"/>
    <s v="F"/>
    <n v="1"/>
    <n v="2019"/>
    <n v="2018"/>
    <n v="14"/>
    <x v="0"/>
    <s v="14B"/>
    <x v="10"/>
    <n v="1"/>
    <n v="7"/>
    <x v="0"/>
    <x v="0"/>
  </r>
  <r>
    <n v="11261"/>
    <n v="114890297"/>
    <s v="Recovery"/>
    <n v="200"/>
    <s v="AHY"/>
    <s v="M"/>
    <n v="9"/>
    <n v="2013"/>
    <n v="2013"/>
    <n v="9"/>
    <x v="0"/>
    <s v="9B"/>
    <x v="4"/>
    <n v="1"/>
    <n v="7"/>
    <x v="0"/>
    <x v="0"/>
  </r>
  <r>
    <n v="11264"/>
    <n v="114890300"/>
    <s v="Recovery"/>
    <n v="200"/>
    <s v="AHY"/>
    <s v="F"/>
    <n v="10"/>
    <n v="2014"/>
    <n v="2014"/>
    <n v="10"/>
    <x v="0"/>
    <s v="10B"/>
    <x v="7"/>
    <n v="1"/>
    <n v="52"/>
    <x v="11"/>
    <x v="1"/>
  </r>
  <r>
    <n v="11268"/>
    <n v="114890304"/>
    <s v="Recovery"/>
    <n v="200"/>
    <s v="AHY"/>
    <s v="M"/>
    <n v="9"/>
    <n v="2014"/>
    <n v="2014"/>
    <n v="10"/>
    <x v="0"/>
    <s v="10B"/>
    <x v="7"/>
    <n v="1"/>
    <n v="7"/>
    <x v="0"/>
    <x v="0"/>
  </r>
  <r>
    <n v="11269"/>
    <n v="114890305"/>
    <s v="Recovery"/>
    <n v="200"/>
    <s v="AHY"/>
    <s v="M"/>
    <n v="11"/>
    <n v="2013"/>
    <n v="2013"/>
    <n v="9"/>
    <x v="0"/>
    <s v="9B"/>
    <x v="4"/>
    <n v="1"/>
    <n v="7"/>
    <x v="0"/>
    <x v="0"/>
  </r>
  <r>
    <n v="11273"/>
    <n v="114890309"/>
    <s v="Recovery"/>
    <n v="200"/>
    <s v="AHY"/>
    <s v="M"/>
    <n v="1"/>
    <n v="2015"/>
    <n v="2014"/>
    <n v="10"/>
    <x v="0"/>
    <s v="10B"/>
    <x v="7"/>
    <n v="1"/>
    <n v="7"/>
    <x v="0"/>
    <x v="0"/>
  </r>
  <r>
    <n v="11279"/>
    <n v="114890315"/>
    <s v="Recovery"/>
    <n v="200"/>
    <s v="AHY"/>
    <s v="F"/>
    <n v="12"/>
    <n v="2017"/>
    <n v="2017"/>
    <n v="13"/>
    <x v="0"/>
    <s v="13B"/>
    <x v="13"/>
    <n v="1"/>
    <n v="7"/>
    <x v="0"/>
    <x v="0"/>
  </r>
  <r>
    <n v="11281"/>
    <n v="114890317"/>
    <s v="Recovery"/>
    <n v="200"/>
    <s v="AHY"/>
    <s v="M"/>
    <n v="9"/>
    <n v="2013"/>
    <n v="2013"/>
    <n v="9"/>
    <x v="0"/>
    <s v="9B"/>
    <x v="4"/>
    <n v="1"/>
    <n v="7"/>
    <x v="0"/>
    <x v="0"/>
  </r>
  <r>
    <n v="11284"/>
    <n v="114890320"/>
    <s v="Recovery"/>
    <n v="200"/>
    <s v="AHY"/>
    <s v="M"/>
    <n v="9"/>
    <n v="2013"/>
    <n v="2013"/>
    <n v="9"/>
    <x v="0"/>
    <s v="9B"/>
    <x v="4"/>
    <n v="1"/>
    <n v="7"/>
    <x v="0"/>
    <x v="0"/>
  </r>
  <r>
    <n v="11285"/>
    <n v="114890321"/>
    <s v="Recovery"/>
    <n v="200"/>
    <s v="AHY"/>
    <s v="M"/>
    <n v="9"/>
    <n v="2014"/>
    <n v="2014"/>
    <n v="10"/>
    <x v="0"/>
    <s v="10B"/>
    <x v="7"/>
    <n v="1"/>
    <n v="7"/>
    <x v="0"/>
    <x v="0"/>
  </r>
  <r>
    <n v="11286"/>
    <n v="114890322"/>
    <s v="Recovery"/>
    <n v="200"/>
    <s v="AHY"/>
    <s v="M"/>
    <n v="9"/>
    <n v="2013"/>
    <n v="2013"/>
    <n v="9"/>
    <x v="0"/>
    <s v="9B"/>
    <x v="4"/>
    <n v="1"/>
    <n v="7"/>
    <x v="0"/>
    <x v="0"/>
  </r>
  <r>
    <n v="11287"/>
    <n v="114890323"/>
    <s v="Recovery"/>
    <n v="200"/>
    <s v="AHY"/>
    <s v="F"/>
    <n v="9"/>
    <n v="2014"/>
    <n v="2014"/>
    <n v="10"/>
    <x v="0"/>
    <s v="10B"/>
    <x v="7"/>
    <n v="1"/>
    <n v="7"/>
    <x v="0"/>
    <x v="0"/>
  </r>
  <r>
    <n v="11288"/>
    <n v="114890324"/>
    <s v="Recovery"/>
    <n v="200"/>
    <s v="AHY"/>
    <s v="F"/>
    <n v="1"/>
    <n v="2014"/>
    <n v="2013"/>
    <n v="9"/>
    <x v="0"/>
    <s v="9B"/>
    <x v="4"/>
    <n v="1"/>
    <n v="7"/>
    <x v="0"/>
    <x v="0"/>
  </r>
  <r>
    <n v="11294"/>
    <n v="114890330"/>
    <s v="Recovery"/>
    <n v="200"/>
    <s v="AHY"/>
    <s v="F"/>
    <n v="9"/>
    <n v="2014"/>
    <n v="2014"/>
    <n v="10"/>
    <x v="0"/>
    <s v="10B"/>
    <x v="7"/>
    <n v="1"/>
    <n v="7"/>
    <x v="0"/>
    <x v="0"/>
  </r>
  <r>
    <n v="11296"/>
    <n v="114890332"/>
    <s v="Recovery"/>
    <n v="200"/>
    <s v="AHY"/>
    <s v="M"/>
    <n v="1"/>
    <n v="2014"/>
    <n v="2013"/>
    <n v="9"/>
    <x v="0"/>
    <s v="9B"/>
    <x v="4"/>
    <n v="1"/>
    <n v="7"/>
    <x v="0"/>
    <x v="0"/>
  </r>
  <r>
    <n v="11298"/>
    <n v="114890334"/>
    <s v="Recovery"/>
    <n v="200"/>
    <s v="AHY"/>
    <s v="F"/>
    <n v="11"/>
    <n v="2017"/>
    <n v="2017"/>
    <n v="13"/>
    <x v="0"/>
    <s v="13B"/>
    <x v="13"/>
    <n v="1"/>
    <n v="7"/>
    <x v="0"/>
    <x v="0"/>
  </r>
  <r>
    <n v="11299"/>
    <n v="114890335"/>
    <s v="Recovery"/>
    <n v="200"/>
    <s v="AHY"/>
    <s v="F"/>
    <n v="12"/>
    <n v="2017"/>
    <n v="2017"/>
    <n v="13"/>
    <x v="0"/>
    <s v="13B"/>
    <x v="13"/>
    <n v="1"/>
    <n v="7"/>
    <x v="0"/>
    <x v="0"/>
  </r>
  <r>
    <n v="11306"/>
    <n v="114890342"/>
    <s v="Recovery"/>
    <n v="200"/>
    <s v="AHY"/>
    <s v="M"/>
    <n v="11"/>
    <n v="2015"/>
    <n v="2015"/>
    <n v="11"/>
    <x v="0"/>
    <s v="11B"/>
    <x v="14"/>
    <n v="1"/>
    <n v="7"/>
    <x v="0"/>
    <x v="0"/>
  </r>
  <r>
    <n v="11307"/>
    <n v="114890343"/>
    <s v="Recovery"/>
    <n v="200"/>
    <s v="AHY"/>
    <s v="F"/>
    <n v="11"/>
    <n v="2013"/>
    <n v="2013"/>
    <n v="9"/>
    <x v="0"/>
    <s v="9B"/>
    <x v="4"/>
    <n v="1"/>
    <n v="7"/>
    <x v="0"/>
    <x v="0"/>
  </r>
  <r>
    <n v="11308"/>
    <n v="114890344"/>
    <s v="Recovery"/>
    <n v="200"/>
    <s v="AHY"/>
    <s v="M"/>
    <n v="1"/>
    <n v="2014"/>
    <n v="2013"/>
    <n v="9"/>
    <x v="0"/>
    <s v="9B"/>
    <x v="4"/>
    <n v="1"/>
    <n v="7"/>
    <x v="0"/>
    <x v="0"/>
  </r>
  <r>
    <n v="11311"/>
    <n v="114890347"/>
    <s v="Recovery"/>
    <n v="200"/>
    <s v="AHY"/>
    <s v="F"/>
    <n v="9"/>
    <n v="2013"/>
    <n v="2013"/>
    <n v="9"/>
    <x v="0"/>
    <s v="9B"/>
    <x v="4"/>
    <n v="1"/>
    <n v="7"/>
    <x v="0"/>
    <x v="0"/>
  </r>
  <r>
    <n v="11312"/>
    <n v="114890348"/>
    <s v="Recovery"/>
    <n v="200"/>
    <s v="AHY"/>
    <s v="M"/>
    <n v="1"/>
    <n v="2018"/>
    <n v="2017"/>
    <n v="13"/>
    <x v="0"/>
    <s v="13B"/>
    <x v="13"/>
    <n v="1"/>
    <n v="7"/>
    <x v="0"/>
    <x v="0"/>
  </r>
  <r>
    <n v="11316"/>
    <n v="114890352"/>
    <s v="Recovery"/>
    <n v="200"/>
    <s v="AHY"/>
    <s v="M"/>
    <n v="1"/>
    <n v="2018"/>
    <n v="2017"/>
    <n v="13"/>
    <x v="0"/>
    <s v="13B"/>
    <x v="13"/>
    <n v="1"/>
    <n v="7"/>
    <x v="0"/>
    <x v="0"/>
  </r>
  <r>
    <n v="11317"/>
    <n v="114890353"/>
    <s v="Recovery"/>
    <n v="200"/>
    <s v="AHY"/>
    <s v="M"/>
    <n v="1"/>
    <n v="2016"/>
    <n v="2015"/>
    <n v="11"/>
    <x v="0"/>
    <s v="11B"/>
    <x v="14"/>
    <n v="1"/>
    <n v="7"/>
    <x v="0"/>
    <x v="0"/>
  </r>
  <r>
    <n v="11324"/>
    <n v="114890360"/>
    <s v="Recovery"/>
    <n v="200"/>
    <s v="AHY"/>
    <s v="F"/>
    <n v="1"/>
    <n v="2018"/>
    <n v="2017"/>
    <n v="13"/>
    <x v="0"/>
    <s v="13B"/>
    <x v="13"/>
    <n v="1"/>
    <n v="7"/>
    <x v="0"/>
    <x v="0"/>
  </r>
  <r>
    <n v="11339"/>
    <n v="114890375"/>
    <s v="Recovery"/>
    <n v="200"/>
    <s v="AHY"/>
    <s v="M"/>
    <n v="9"/>
    <n v="2015"/>
    <n v="2015"/>
    <n v="11"/>
    <x v="0"/>
    <s v="11B"/>
    <x v="14"/>
    <n v="1"/>
    <n v="7"/>
    <x v="0"/>
    <x v="0"/>
  </r>
  <r>
    <n v="11344"/>
    <n v="114890380"/>
    <s v="Recovery"/>
    <n v="200"/>
    <s v="AHY"/>
    <s v="F"/>
    <n v="12"/>
    <n v="2017"/>
    <n v="2017"/>
    <n v="13"/>
    <x v="0"/>
    <s v="13B"/>
    <x v="13"/>
    <n v="1"/>
    <n v="7"/>
    <x v="0"/>
    <x v="0"/>
  </r>
  <r>
    <n v="11361"/>
    <n v="114890397"/>
    <s v="Recovery"/>
    <n v="200"/>
    <s v="AHY"/>
    <s v="F"/>
    <n v="11"/>
    <n v="2015"/>
    <n v="2015"/>
    <n v="11"/>
    <x v="0"/>
    <s v="11B"/>
    <x v="14"/>
    <n v="1"/>
    <n v="7"/>
    <x v="0"/>
    <x v="0"/>
  </r>
  <r>
    <n v="11364"/>
    <n v="114890400"/>
    <s v="Recovery"/>
    <n v="200"/>
    <s v="AHY"/>
    <s v="M"/>
    <n v="9"/>
    <n v="2015"/>
    <n v="2015"/>
    <n v="11"/>
    <x v="0"/>
    <s v="11B"/>
    <x v="14"/>
    <n v="1"/>
    <n v="7"/>
    <x v="0"/>
    <x v="0"/>
  </r>
  <r>
    <n v="11369"/>
    <n v="114890405"/>
    <s v="Recovery"/>
    <n v="200"/>
    <s v="AHY"/>
    <s v="M"/>
    <n v="12"/>
    <n v="2013"/>
    <n v="2013"/>
    <n v="9"/>
    <x v="0"/>
    <s v="9B"/>
    <x v="4"/>
    <n v="1"/>
    <n v="7"/>
    <x v="0"/>
    <x v="0"/>
  </r>
  <r>
    <n v="11370"/>
    <n v="114890406"/>
    <s v="Recovery"/>
    <n v="200"/>
    <s v="AHY"/>
    <s v="M"/>
    <n v="9"/>
    <n v="2015"/>
    <n v="2015"/>
    <n v="11"/>
    <x v="0"/>
    <s v="11B"/>
    <x v="14"/>
    <n v="1"/>
    <n v="7"/>
    <x v="0"/>
    <x v="0"/>
  </r>
  <r>
    <n v="11375"/>
    <n v="114890411"/>
    <s v="Recovery"/>
    <n v="200"/>
    <s v="AHY"/>
    <s v="F"/>
    <n v="1"/>
    <n v="2015"/>
    <n v="2014"/>
    <n v="10"/>
    <x v="0"/>
    <s v="10B"/>
    <x v="7"/>
    <n v="1"/>
    <n v="7"/>
    <x v="0"/>
    <x v="0"/>
  </r>
  <r>
    <n v="11385"/>
    <n v="114890421"/>
    <s v="Recovery"/>
    <n v="200"/>
    <s v="AHY"/>
    <s v="F"/>
    <n v="1"/>
    <n v="2016"/>
    <n v="2015"/>
    <n v="11"/>
    <x v="0"/>
    <s v="11B"/>
    <x v="14"/>
    <n v="1"/>
    <n v="7"/>
    <x v="0"/>
    <x v="0"/>
  </r>
  <r>
    <n v="11398"/>
    <n v="114890434"/>
    <s v="Recovery"/>
    <n v="200"/>
    <s v="AHY"/>
    <s v="M"/>
    <n v="9"/>
    <n v="2015"/>
    <n v="2015"/>
    <n v="11"/>
    <x v="0"/>
    <s v="11B"/>
    <x v="14"/>
    <n v="1"/>
    <n v="7"/>
    <x v="0"/>
    <x v="0"/>
  </r>
  <r>
    <n v="11403"/>
    <n v="114890439"/>
    <s v="Recovery"/>
    <n v="200"/>
    <s v="AHY"/>
    <s v="M"/>
    <n v="12"/>
    <n v="2017"/>
    <n v="2017"/>
    <n v="13"/>
    <x v="0"/>
    <s v="13B"/>
    <x v="13"/>
    <n v="1"/>
    <n v="7"/>
    <x v="0"/>
    <x v="0"/>
  </r>
  <r>
    <n v="11407"/>
    <n v="114890443"/>
    <s v="Recovery"/>
    <n v="200"/>
    <s v="AHY"/>
    <s v="M"/>
    <n v="9"/>
    <n v="2017"/>
    <n v="2017"/>
    <n v="13"/>
    <x v="0"/>
    <s v="13B"/>
    <x v="13"/>
    <n v="1"/>
    <n v="7"/>
    <x v="0"/>
    <x v="0"/>
  </r>
  <r>
    <n v="11409"/>
    <n v="114890445"/>
    <s v="Recovery"/>
    <n v="200"/>
    <s v="AHY"/>
    <s v="M"/>
    <n v="9"/>
    <n v="2013"/>
    <n v="2013"/>
    <n v="9"/>
    <x v="0"/>
    <s v="9B"/>
    <x v="4"/>
    <n v="1"/>
    <n v="7"/>
    <x v="0"/>
    <x v="0"/>
  </r>
  <r>
    <n v="11411"/>
    <n v="114890447"/>
    <s v="Recovery"/>
    <n v="200"/>
    <s v="AHY"/>
    <s v="F"/>
    <n v="11"/>
    <n v="2014"/>
    <n v="2014"/>
    <n v="10"/>
    <x v="0"/>
    <s v="10B"/>
    <x v="7"/>
    <n v="1"/>
    <n v="7"/>
    <x v="0"/>
    <x v="0"/>
  </r>
  <r>
    <n v="11416"/>
    <n v="114890452"/>
    <s v="Recovery"/>
    <n v="200"/>
    <s v="AHY"/>
    <s v="F"/>
    <n v="11"/>
    <n v="2014"/>
    <n v="2014"/>
    <n v="10"/>
    <x v="0"/>
    <s v="10B"/>
    <x v="7"/>
    <n v="1"/>
    <n v="7"/>
    <x v="0"/>
    <x v="0"/>
  </r>
  <r>
    <n v="11418"/>
    <n v="114890454"/>
    <s v="Recovery"/>
    <n v="200"/>
    <s v="AHY"/>
    <s v="M"/>
    <n v="12"/>
    <n v="2019"/>
    <n v="2019"/>
    <n v="15"/>
    <x v="0"/>
    <s v="15B"/>
    <x v="11"/>
    <n v="1"/>
    <n v="7"/>
    <x v="0"/>
    <x v="0"/>
  </r>
  <r>
    <n v="11436"/>
    <n v="114890472"/>
    <s v="Recovery"/>
    <n v="200"/>
    <s v="AHY"/>
    <s v="F"/>
    <n v="1"/>
    <n v="2015"/>
    <n v="2014"/>
    <n v="10"/>
    <x v="0"/>
    <s v="10B"/>
    <x v="7"/>
    <n v="1"/>
    <n v="27"/>
    <x v="8"/>
    <x v="1"/>
  </r>
  <r>
    <n v="11438"/>
    <n v="114890474"/>
    <s v="Recovery"/>
    <n v="200"/>
    <s v="AHY"/>
    <s v="M"/>
    <n v="10"/>
    <n v="2014"/>
    <n v="2014"/>
    <n v="10"/>
    <x v="0"/>
    <s v="10B"/>
    <x v="7"/>
    <n v="1"/>
    <n v="50"/>
    <x v="3"/>
    <x v="1"/>
  </r>
  <r>
    <n v="11445"/>
    <n v="114825368"/>
    <s v="Recovery"/>
    <n v="200"/>
    <s v="AHY"/>
    <s v="F"/>
    <n v="11"/>
    <n v="2019"/>
    <n v="2019"/>
    <n v="15"/>
    <x v="0"/>
    <s v="15B"/>
    <x v="11"/>
    <n v="1"/>
    <n v="7"/>
    <x v="0"/>
    <x v="0"/>
  </r>
  <r>
    <n v="11451"/>
    <n v="114825374"/>
    <s v="Recovery"/>
    <n v="200"/>
    <s v="AHY"/>
    <s v="F"/>
    <n v="1"/>
    <n v="2017"/>
    <n v="2016"/>
    <n v="12"/>
    <x v="0"/>
    <s v="12B"/>
    <x v="12"/>
    <n v="1"/>
    <n v="7"/>
    <x v="0"/>
    <x v="0"/>
  </r>
  <r>
    <n v="11459"/>
    <n v="114825382"/>
    <s v="Recovery"/>
    <n v="200"/>
    <s v="AHY"/>
    <s v="F"/>
    <n v="12"/>
    <n v="2015"/>
    <n v="2015"/>
    <n v="11"/>
    <x v="0"/>
    <s v="11B"/>
    <x v="14"/>
    <n v="1"/>
    <n v="7"/>
    <x v="0"/>
    <x v="0"/>
  </r>
  <r>
    <n v="11463"/>
    <n v="114825386"/>
    <s v="Recovery"/>
    <n v="200"/>
    <s v="AHY"/>
    <s v="F"/>
    <n v="1"/>
    <n v="2016"/>
    <n v="2015"/>
    <n v="11"/>
    <x v="0"/>
    <s v="11B"/>
    <x v="14"/>
    <n v="1"/>
    <n v="7"/>
    <x v="0"/>
    <x v="0"/>
  </r>
  <r>
    <n v="11470"/>
    <n v="114825393"/>
    <s v="Recovery"/>
    <n v="200"/>
    <s v="AHY"/>
    <s v="M"/>
    <n v="9"/>
    <n v="2016"/>
    <n v="2016"/>
    <n v="12"/>
    <x v="0"/>
    <s v="12B"/>
    <x v="12"/>
    <n v="1"/>
    <n v="7"/>
    <x v="0"/>
    <x v="0"/>
  </r>
  <r>
    <n v="11474"/>
    <n v="114825397"/>
    <s v="Recovery"/>
    <n v="200"/>
    <s v="AHY"/>
    <s v="F"/>
    <n v="1"/>
    <n v="2018"/>
    <n v="2017"/>
    <n v="13"/>
    <x v="0"/>
    <s v="13B"/>
    <x v="13"/>
    <n v="1"/>
    <n v="7"/>
    <x v="0"/>
    <x v="0"/>
  </r>
  <r>
    <n v="11478"/>
    <n v="114889643"/>
    <s v="Recovery"/>
    <n v="200"/>
    <s v="AHY"/>
    <s v="M"/>
    <n v="9"/>
    <n v="2014"/>
    <n v="2014"/>
    <n v="10"/>
    <x v="0"/>
    <s v="10B"/>
    <x v="7"/>
    <n v="1"/>
    <n v="7"/>
    <x v="0"/>
    <x v="0"/>
  </r>
  <r>
    <n v="11479"/>
    <n v="114889644"/>
    <s v="Recovery"/>
    <n v="200"/>
    <s v="AHY"/>
    <s v="F"/>
    <n v="9"/>
    <n v="2018"/>
    <n v="2018"/>
    <n v="14"/>
    <x v="0"/>
    <s v="14B"/>
    <x v="10"/>
    <n v="1"/>
    <n v="7"/>
    <x v="0"/>
    <x v="0"/>
  </r>
  <r>
    <n v="11483"/>
    <n v="114889648"/>
    <s v="Recovery"/>
    <n v="200"/>
    <s v="HY"/>
    <s v="F"/>
    <n v="9"/>
    <n v="2014"/>
    <n v="2014"/>
    <n v="10"/>
    <x v="0"/>
    <s v="10B"/>
    <x v="7"/>
    <n v="1"/>
    <n v="7"/>
    <x v="0"/>
    <x v="0"/>
  </r>
  <r>
    <n v="11485"/>
    <n v="114889650"/>
    <s v="Recovery"/>
    <n v="200"/>
    <s v="AHY"/>
    <s v="M"/>
    <n v="9"/>
    <n v="2018"/>
    <n v="2018"/>
    <n v="14"/>
    <x v="0"/>
    <s v="14B"/>
    <x v="10"/>
    <n v="1"/>
    <n v="7"/>
    <x v="0"/>
    <x v="0"/>
  </r>
  <r>
    <n v="11489"/>
    <n v="114889654"/>
    <s v="Recovery"/>
    <n v="200"/>
    <s v="AHY"/>
    <s v="F"/>
    <n v="11"/>
    <n v="2017"/>
    <n v="2017"/>
    <n v="13"/>
    <x v="0"/>
    <s v="13B"/>
    <x v="13"/>
    <n v="1"/>
    <n v="7"/>
    <x v="0"/>
    <x v="0"/>
  </r>
  <r>
    <n v="11491"/>
    <n v="114889656"/>
    <s v="Recovery"/>
    <n v="200"/>
    <s v="AHY"/>
    <s v="F"/>
    <n v="9"/>
    <n v="2017"/>
    <n v="2017"/>
    <n v="13"/>
    <x v="0"/>
    <s v="13B"/>
    <x v="13"/>
    <n v="1"/>
    <n v="7"/>
    <x v="0"/>
    <x v="0"/>
  </r>
  <r>
    <n v="11493"/>
    <n v="114889658"/>
    <s v="Recovery"/>
    <n v="200"/>
    <s v="AHY"/>
    <s v="F"/>
    <n v="1"/>
    <n v="2016"/>
    <n v="2015"/>
    <n v="11"/>
    <x v="0"/>
    <s v="11B"/>
    <x v="14"/>
    <n v="1"/>
    <n v="7"/>
    <x v="0"/>
    <x v="0"/>
  </r>
  <r>
    <n v="11496"/>
    <n v="114889661"/>
    <s v="Recovery"/>
    <n v="200"/>
    <s v="AHY"/>
    <s v="F"/>
    <n v="1"/>
    <n v="2016"/>
    <n v="2015"/>
    <n v="11"/>
    <x v="0"/>
    <s v="11B"/>
    <x v="14"/>
    <n v="1"/>
    <n v="7"/>
    <x v="0"/>
    <x v="0"/>
  </r>
  <r>
    <n v="11501"/>
    <n v="114889666"/>
    <s v="Recovery"/>
    <n v="200"/>
    <s v="AHY"/>
    <s v="M"/>
    <n v="1"/>
    <n v="2018"/>
    <n v="2017"/>
    <n v="13"/>
    <x v="0"/>
    <s v="13B"/>
    <x v="13"/>
    <n v="1"/>
    <n v="7"/>
    <x v="0"/>
    <x v="0"/>
  </r>
  <r>
    <n v="11503"/>
    <n v="114889668"/>
    <s v="Recovery"/>
    <n v="200"/>
    <s v="AHY"/>
    <s v="M"/>
    <n v="9"/>
    <n v="2017"/>
    <n v="2017"/>
    <n v="13"/>
    <x v="0"/>
    <s v="13B"/>
    <x v="13"/>
    <n v="1"/>
    <n v="7"/>
    <x v="0"/>
    <x v="0"/>
  </r>
  <r>
    <n v="11515"/>
    <n v="114889680"/>
    <s v="Recovery"/>
    <n v="200"/>
    <s v="AHY"/>
    <s v="F"/>
    <n v="1"/>
    <n v="2016"/>
    <n v="2015"/>
    <n v="11"/>
    <x v="0"/>
    <s v="11B"/>
    <x v="14"/>
    <n v="1"/>
    <n v="7"/>
    <x v="0"/>
    <x v="0"/>
  </r>
  <r>
    <n v="11518"/>
    <n v="114889683"/>
    <s v="Recovery"/>
    <n v="200"/>
    <s v="AHY"/>
    <s v="M"/>
    <n v="9"/>
    <n v="2017"/>
    <n v="2017"/>
    <n v="13"/>
    <x v="0"/>
    <s v="13B"/>
    <x v="13"/>
    <n v="1"/>
    <n v="7"/>
    <x v="0"/>
    <x v="0"/>
  </r>
  <r>
    <n v="11519"/>
    <n v="114889684"/>
    <s v="Recovery"/>
    <n v="200"/>
    <s v="AHY"/>
    <s v="F"/>
    <n v="9"/>
    <n v="2014"/>
    <n v="2014"/>
    <n v="10"/>
    <x v="0"/>
    <s v="10B"/>
    <x v="7"/>
    <n v="1"/>
    <n v="7"/>
    <x v="0"/>
    <x v="0"/>
  </r>
  <r>
    <n v="11525"/>
    <n v="114889690"/>
    <s v="Recovery"/>
    <n v="200"/>
    <s v="AHY"/>
    <s v="M"/>
    <n v="9"/>
    <n v="2016"/>
    <n v="2016"/>
    <n v="12"/>
    <x v="0"/>
    <s v="12B"/>
    <x v="12"/>
    <n v="1"/>
    <n v="7"/>
    <x v="0"/>
    <x v="0"/>
  </r>
  <r>
    <n v="11527"/>
    <n v="114889692"/>
    <s v="Recovery"/>
    <n v="200"/>
    <s v="AHY"/>
    <s v="F"/>
    <n v="1"/>
    <n v="2016"/>
    <n v="2015"/>
    <n v="11"/>
    <x v="0"/>
    <s v="11B"/>
    <x v="14"/>
    <n v="1"/>
    <n v="7"/>
    <x v="0"/>
    <x v="0"/>
  </r>
  <r>
    <n v="11534"/>
    <n v="114889699"/>
    <s v="Recovery"/>
    <n v="200"/>
    <s v="AHY"/>
    <s v="F"/>
    <n v="1"/>
    <n v="2018"/>
    <n v="2017"/>
    <n v="13"/>
    <x v="0"/>
    <s v="13B"/>
    <x v="13"/>
    <n v="1"/>
    <n v="7"/>
    <x v="0"/>
    <x v="0"/>
  </r>
  <r>
    <n v="11542"/>
    <n v="116809007"/>
    <s v="Recovery"/>
    <n v="200"/>
    <s v="AHY"/>
    <s v="F"/>
    <n v="11"/>
    <n v="2014"/>
    <n v="2014"/>
    <n v="10"/>
    <x v="0"/>
    <s v="10B"/>
    <x v="7"/>
    <n v="1"/>
    <n v="7"/>
    <x v="0"/>
    <x v="0"/>
  </r>
  <r>
    <n v="11560"/>
    <n v="116809025"/>
    <s v="Recovery"/>
    <n v="200"/>
    <s v="AHY"/>
    <s v="M"/>
    <n v="1"/>
    <n v="2017"/>
    <n v="2016"/>
    <n v="12"/>
    <x v="0"/>
    <s v="12B"/>
    <x v="12"/>
    <n v="1"/>
    <n v="7"/>
    <x v="0"/>
    <x v="0"/>
  </r>
  <r>
    <n v="11562"/>
    <n v="116809027"/>
    <s v="Recovery"/>
    <n v="200"/>
    <s v="AHY"/>
    <s v="F"/>
    <n v="11"/>
    <n v="2014"/>
    <n v="2014"/>
    <n v="10"/>
    <x v="0"/>
    <s v="10B"/>
    <x v="7"/>
    <n v="1"/>
    <n v="7"/>
    <x v="0"/>
    <x v="0"/>
  </r>
  <r>
    <n v="11573"/>
    <n v="116809038"/>
    <s v="Recovery"/>
    <n v="200"/>
    <s v="AHY"/>
    <s v="M"/>
    <n v="11"/>
    <n v="2014"/>
    <n v="2014"/>
    <n v="10"/>
    <x v="0"/>
    <s v="10B"/>
    <x v="7"/>
    <n v="1"/>
    <n v="7"/>
    <x v="0"/>
    <x v="0"/>
  </r>
  <r>
    <n v="11575"/>
    <n v="116809040"/>
    <s v="Recovery"/>
    <n v="200"/>
    <s v="AHY"/>
    <s v="M"/>
    <n v="9"/>
    <n v="2015"/>
    <n v="2015"/>
    <n v="11"/>
    <x v="0"/>
    <s v="11B"/>
    <x v="14"/>
    <n v="1"/>
    <n v="7"/>
    <x v="0"/>
    <x v="0"/>
  </r>
  <r>
    <n v="11577"/>
    <n v="116809042"/>
    <s v="Recovery"/>
    <n v="200"/>
    <s v="AHY"/>
    <s v="M"/>
    <n v="9"/>
    <n v="2020"/>
    <n v="2020"/>
    <n v="16"/>
    <x v="0"/>
    <s v="16B"/>
    <x v="15"/>
    <n v="1"/>
    <n v="7"/>
    <x v="0"/>
    <x v="0"/>
  </r>
  <r>
    <n v="11579"/>
    <n v="116809044"/>
    <s v="Recovery"/>
    <n v="200"/>
    <s v="AHY"/>
    <s v="F"/>
    <n v="9"/>
    <n v="2020"/>
    <n v="2020"/>
    <n v="16"/>
    <x v="0"/>
    <s v="16B"/>
    <x v="15"/>
    <n v="1"/>
    <n v="7"/>
    <x v="0"/>
    <x v="0"/>
  </r>
  <r>
    <n v="11582"/>
    <n v="116809047"/>
    <s v="Recovery"/>
    <n v="200"/>
    <s v="AHY"/>
    <s v="F"/>
    <n v="9"/>
    <n v="2014"/>
    <n v="2014"/>
    <n v="10"/>
    <x v="0"/>
    <s v="10B"/>
    <x v="7"/>
    <n v="1"/>
    <n v="7"/>
    <x v="0"/>
    <x v="0"/>
  </r>
  <r>
    <n v="11588"/>
    <n v="116809053"/>
    <s v="Recovery"/>
    <n v="200"/>
    <s v="AHY"/>
    <s v="F"/>
    <n v="12"/>
    <n v="2016"/>
    <n v="2016"/>
    <n v="12"/>
    <x v="0"/>
    <s v="12B"/>
    <x v="12"/>
    <n v="1"/>
    <n v="7"/>
    <x v="0"/>
    <x v="0"/>
  </r>
  <r>
    <n v="11595"/>
    <n v="116809060"/>
    <s v="Recovery"/>
    <n v="200"/>
    <s v="AHY"/>
    <s v="F"/>
    <n v="10"/>
    <n v="2015"/>
    <n v="2015"/>
    <n v="11"/>
    <x v="0"/>
    <s v="11B"/>
    <x v="14"/>
    <n v="1"/>
    <n v="52"/>
    <x v="11"/>
    <x v="1"/>
  </r>
  <r>
    <n v="11599"/>
    <n v="116809064"/>
    <s v="Recovery"/>
    <n v="200"/>
    <s v="AHY"/>
    <s v="F"/>
    <n v="11"/>
    <n v="2020"/>
    <n v="2020"/>
    <n v="16"/>
    <x v="0"/>
    <s v="16B"/>
    <x v="15"/>
    <n v="1"/>
    <n v="7"/>
    <x v="0"/>
    <x v="0"/>
  </r>
  <r>
    <n v="11600"/>
    <n v="116809065"/>
    <s v="Recovery"/>
    <n v="200"/>
    <s v="AHY"/>
    <s v="M"/>
    <n v="1"/>
    <n v="2018"/>
    <n v="2017"/>
    <n v="13"/>
    <x v="0"/>
    <s v="13B"/>
    <x v="13"/>
    <n v="1"/>
    <n v="7"/>
    <x v="0"/>
    <x v="0"/>
  </r>
  <r>
    <n v="11609"/>
    <n v="116809074"/>
    <s v="Recovery"/>
    <n v="200"/>
    <s v="AHY"/>
    <s v="F"/>
    <n v="9"/>
    <n v="2014"/>
    <n v="2014"/>
    <n v="10"/>
    <x v="0"/>
    <s v="10B"/>
    <x v="7"/>
    <n v="1"/>
    <n v="7"/>
    <x v="0"/>
    <x v="0"/>
  </r>
  <r>
    <n v="11610"/>
    <n v="116809075"/>
    <s v="Recovery"/>
    <n v="200"/>
    <s v="AHY"/>
    <s v="M"/>
    <n v="1"/>
    <n v="2016"/>
    <n v="2015"/>
    <n v="11"/>
    <x v="0"/>
    <s v="11B"/>
    <x v="14"/>
    <n v="1"/>
    <n v="7"/>
    <x v="0"/>
    <x v="0"/>
  </r>
  <r>
    <n v="11611"/>
    <n v="116809076"/>
    <s v="Recovery"/>
    <n v="200"/>
    <s v="AHY"/>
    <s v="F"/>
    <n v="9"/>
    <n v="2015"/>
    <n v="2015"/>
    <n v="11"/>
    <x v="0"/>
    <s v="11B"/>
    <x v="14"/>
    <n v="1"/>
    <n v="7"/>
    <x v="0"/>
    <x v="0"/>
  </r>
  <r>
    <n v="11612"/>
    <n v="116809077"/>
    <s v="Recovery"/>
    <n v="200"/>
    <s v="AHY"/>
    <s v="F"/>
    <n v="1"/>
    <n v="2016"/>
    <n v="2015"/>
    <n v="11"/>
    <x v="0"/>
    <s v="11B"/>
    <x v="14"/>
    <n v="1"/>
    <n v="7"/>
    <x v="0"/>
    <x v="0"/>
  </r>
  <r>
    <n v="11613"/>
    <n v="116809078"/>
    <s v="Recovery"/>
    <n v="200"/>
    <s v="AHY"/>
    <s v="F"/>
    <n v="9"/>
    <n v="2014"/>
    <n v="2014"/>
    <n v="10"/>
    <x v="0"/>
    <s v="10B"/>
    <x v="7"/>
    <n v="1"/>
    <n v="7"/>
    <x v="0"/>
    <x v="0"/>
  </r>
  <r>
    <n v="11620"/>
    <n v="116809085"/>
    <s v="Recovery"/>
    <n v="200"/>
    <s v="AHY"/>
    <s v="F"/>
    <n v="9"/>
    <n v="2015"/>
    <n v="2015"/>
    <n v="11"/>
    <x v="0"/>
    <s v="11B"/>
    <x v="14"/>
    <n v="1"/>
    <n v="7"/>
    <x v="0"/>
    <x v="0"/>
  </r>
  <r>
    <n v="11630"/>
    <n v="116809095"/>
    <s v="Recovery"/>
    <n v="200"/>
    <s v="AHY"/>
    <s v="M"/>
    <n v="12"/>
    <n v="2016"/>
    <n v="2016"/>
    <n v="12"/>
    <x v="0"/>
    <s v="12B"/>
    <x v="12"/>
    <n v="1"/>
    <n v="7"/>
    <x v="0"/>
    <x v="0"/>
  </r>
  <r>
    <n v="11632"/>
    <n v="116809097"/>
    <s v="Recovery"/>
    <n v="200"/>
    <s v="AHY"/>
    <s v="M"/>
    <n v="9"/>
    <n v="2018"/>
    <n v="2018"/>
    <n v="14"/>
    <x v="0"/>
    <s v="14B"/>
    <x v="10"/>
    <n v="1"/>
    <n v="7"/>
    <x v="0"/>
    <x v="0"/>
  </r>
  <r>
    <n v="11637"/>
    <n v="116809102"/>
    <s v="Recovery"/>
    <n v="200"/>
    <s v="AHY"/>
    <s v="F"/>
    <n v="1"/>
    <n v="2016"/>
    <n v="2015"/>
    <n v="11"/>
    <x v="0"/>
    <s v="11B"/>
    <x v="14"/>
    <n v="1"/>
    <n v="7"/>
    <x v="0"/>
    <x v="0"/>
  </r>
  <r>
    <n v="11638"/>
    <n v="116809103"/>
    <s v="Recovery"/>
    <n v="200"/>
    <s v="AHY"/>
    <s v="M"/>
    <n v="9"/>
    <n v="2014"/>
    <n v="2014"/>
    <n v="10"/>
    <x v="0"/>
    <s v="10B"/>
    <x v="7"/>
    <n v="1"/>
    <n v="7"/>
    <x v="0"/>
    <x v="0"/>
  </r>
  <r>
    <n v="11639"/>
    <n v="116809104"/>
    <s v="Recovery"/>
    <n v="200"/>
    <s v="AHY"/>
    <s v="M"/>
    <n v="1"/>
    <n v="2016"/>
    <n v="2015"/>
    <n v="11"/>
    <x v="0"/>
    <s v="11B"/>
    <x v="14"/>
    <n v="1"/>
    <n v="7"/>
    <x v="0"/>
    <x v="0"/>
  </r>
  <r>
    <n v="11646"/>
    <n v="116809111"/>
    <s v="Recovery"/>
    <n v="200"/>
    <s v="AHY"/>
    <s v="M"/>
    <n v="9"/>
    <n v="2014"/>
    <n v="2014"/>
    <n v="10"/>
    <x v="0"/>
    <s v="10B"/>
    <x v="7"/>
    <n v="1"/>
    <n v="7"/>
    <x v="0"/>
    <x v="0"/>
  </r>
  <r>
    <n v="11649"/>
    <n v="116809114"/>
    <s v="Recovery"/>
    <n v="200"/>
    <s v="AHY"/>
    <s v="M"/>
    <n v="1"/>
    <n v="2015"/>
    <n v="2014"/>
    <n v="10"/>
    <x v="0"/>
    <s v="10B"/>
    <x v="7"/>
    <n v="1"/>
    <n v="7"/>
    <x v="0"/>
    <x v="0"/>
  </r>
  <r>
    <n v="11662"/>
    <n v="116809127"/>
    <s v="Recovery"/>
    <n v="200"/>
    <s v="AHY"/>
    <s v="F"/>
    <n v="11"/>
    <n v="2014"/>
    <n v="2014"/>
    <n v="10"/>
    <x v="0"/>
    <s v="10B"/>
    <x v="7"/>
    <n v="1"/>
    <n v="7"/>
    <x v="0"/>
    <x v="0"/>
  </r>
  <r>
    <n v="11665"/>
    <n v="116809130"/>
    <s v="Recovery"/>
    <n v="200"/>
    <s v="AHY"/>
    <s v="F"/>
    <n v="12"/>
    <n v="2014"/>
    <n v="2014"/>
    <n v="10"/>
    <x v="0"/>
    <s v="10B"/>
    <x v="7"/>
    <n v="1"/>
    <n v="7"/>
    <x v="0"/>
    <x v="0"/>
  </r>
  <r>
    <n v="11669"/>
    <n v="116809134"/>
    <s v="Recovery"/>
    <n v="200"/>
    <s v="AHY"/>
    <s v="M"/>
    <n v="2"/>
    <n v="2015"/>
    <n v="2014"/>
    <n v="10"/>
    <x v="0"/>
    <s v="10B"/>
    <x v="7"/>
    <n v="1"/>
    <n v="7"/>
    <x v="0"/>
    <x v="0"/>
  </r>
  <r>
    <n v="11671"/>
    <n v="116809136"/>
    <s v="Recovery"/>
    <n v="200"/>
    <s v="AHY"/>
    <s v="M"/>
    <n v="10"/>
    <n v="2015"/>
    <n v="2015"/>
    <n v="11"/>
    <x v="0"/>
    <s v="11B"/>
    <x v="14"/>
    <n v="1"/>
    <n v="45"/>
    <x v="1"/>
    <x v="1"/>
  </r>
  <r>
    <n v="11676"/>
    <n v="116809141"/>
    <s v="Recovery"/>
    <n v="200"/>
    <s v="AHY"/>
    <s v="F"/>
    <n v="9"/>
    <n v="2015"/>
    <n v="2015"/>
    <n v="11"/>
    <x v="0"/>
    <s v="11B"/>
    <x v="14"/>
    <n v="1"/>
    <n v="7"/>
    <x v="0"/>
    <x v="0"/>
  </r>
  <r>
    <n v="11686"/>
    <n v="116809151"/>
    <s v="Recovery"/>
    <n v="200"/>
    <s v="AHY"/>
    <s v="F"/>
    <n v="9"/>
    <n v="2014"/>
    <n v="2014"/>
    <n v="10"/>
    <x v="0"/>
    <s v="10B"/>
    <x v="7"/>
    <n v="1"/>
    <n v="7"/>
    <x v="0"/>
    <x v="0"/>
  </r>
  <r>
    <n v="11691"/>
    <n v="116809156"/>
    <s v="Recovery"/>
    <n v="200"/>
    <s v="AHY"/>
    <s v="M"/>
    <n v="12"/>
    <n v="2017"/>
    <n v="2017"/>
    <n v="13"/>
    <x v="0"/>
    <s v="13B"/>
    <x v="13"/>
    <n v="1"/>
    <n v="52"/>
    <x v="11"/>
    <x v="1"/>
  </r>
  <r>
    <n v="11693"/>
    <n v="116809158"/>
    <s v="Recovery"/>
    <n v="200"/>
    <s v="AHY"/>
    <s v="M"/>
    <n v="9"/>
    <n v="2014"/>
    <n v="2014"/>
    <n v="10"/>
    <x v="0"/>
    <s v="10B"/>
    <x v="7"/>
    <n v="1"/>
    <n v="7"/>
    <x v="0"/>
    <x v="0"/>
  </r>
  <r>
    <n v="11696"/>
    <n v="116809161"/>
    <s v="Recovery"/>
    <n v="200"/>
    <s v="AHY"/>
    <s v="F"/>
    <n v="2"/>
    <n v="2015"/>
    <n v="2014"/>
    <n v="10"/>
    <x v="0"/>
    <s v="10B"/>
    <x v="7"/>
    <n v="1"/>
    <n v="7"/>
    <x v="0"/>
    <x v="0"/>
  </r>
  <r>
    <n v="11708"/>
    <n v="116809173"/>
    <s v="Recovery"/>
    <n v="200"/>
    <s v="AHY"/>
    <s v="F"/>
    <n v="9"/>
    <n v="2016"/>
    <n v="2016"/>
    <n v="12"/>
    <x v="0"/>
    <s v="12B"/>
    <x v="12"/>
    <n v="1"/>
    <n v="7"/>
    <x v="0"/>
    <x v="0"/>
  </r>
  <r>
    <n v="11715"/>
    <n v="116809180"/>
    <s v="Recovery"/>
    <n v="200"/>
    <s v="AHY"/>
    <s v="F"/>
    <n v="9"/>
    <n v="2014"/>
    <n v="2014"/>
    <n v="10"/>
    <x v="0"/>
    <s v="10B"/>
    <x v="7"/>
    <n v="1"/>
    <n v="7"/>
    <x v="0"/>
    <x v="0"/>
  </r>
  <r>
    <n v="11717"/>
    <n v="116809182"/>
    <s v="Recovery"/>
    <n v="200"/>
    <s v="AHY"/>
    <s v="M"/>
    <n v="9"/>
    <n v="2017"/>
    <n v="2017"/>
    <n v="13"/>
    <x v="0"/>
    <s v="13B"/>
    <x v="13"/>
    <n v="1"/>
    <n v="7"/>
    <x v="0"/>
    <x v="0"/>
  </r>
  <r>
    <n v="11719"/>
    <n v="116809184"/>
    <s v="Recovery"/>
    <n v="200"/>
    <s v="AHY"/>
    <s v="M"/>
    <n v="9"/>
    <n v="2020"/>
    <n v="2020"/>
    <n v="16"/>
    <x v="0"/>
    <s v="16B"/>
    <x v="15"/>
    <n v="1"/>
    <n v="7"/>
    <x v="0"/>
    <x v="0"/>
  </r>
  <r>
    <n v="11729"/>
    <n v="116809194"/>
    <s v="Recovery"/>
    <n v="200"/>
    <s v="AHY"/>
    <s v="F"/>
    <n v="9"/>
    <n v="2015"/>
    <n v="2015"/>
    <n v="11"/>
    <x v="0"/>
    <s v="11B"/>
    <x v="14"/>
    <n v="1"/>
    <n v="7"/>
    <x v="0"/>
    <x v="0"/>
  </r>
  <r>
    <n v="11730"/>
    <n v="116809195"/>
    <s v="Recovery"/>
    <n v="200"/>
    <s v="AHY"/>
    <s v="F"/>
    <n v="9"/>
    <n v="2018"/>
    <n v="2018"/>
    <n v="14"/>
    <x v="0"/>
    <s v="14B"/>
    <x v="10"/>
    <n v="1"/>
    <n v="7"/>
    <x v="0"/>
    <x v="0"/>
  </r>
  <r>
    <n v="11737"/>
    <n v="116809202"/>
    <s v="Recovery"/>
    <n v="200"/>
    <s v="AHY"/>
    <s v="F"/>
    <n v="9"/>
    <n v="2014"/>
    <n v="2014"/>
    <n v="10"/>
    <x v="0"/>
    <s v="10B"/>
    <x v="7"/>
    <n v="1"/>
    <n v="7"/>
    <x v="0"/>
    <x v="0"/>
  </r>
  <r>
    <n v="11743"/>
    <n v="116809208"/>
    <s v="Recovery"/>
    <n v="200"/>
    <s v="AHY"/>
    <s v="M"/>
    <n v="1"/>
    <n v="2018"/>
    <n v="2017"/>
    <n v="13"/>
    <x v="0"/>
    <s v="13B"/>
    <x v="13"/>
    <n v="1"/>
    <n v="7"/>
    <x v="0"/>
    <x v="0"/>
  </r>
  <r>
    <n v="11744"/>
    <n v="116809209"/>
    <s v="Recovery"/>
    <n v="200"/>
    <s v="AHY"/>
    <s v="M"/>
    <n v="11"/>
    <n v="2016"/>
    <n v="2016"/>
    <n v="12"/>
    <x v="0"/>
    <s v="12B"/>
    <x v="12"/>
    <n v="1"/>
    <n v="7"/>
    <x v="0"/>
    <x v="0"/>
  </r>
  <r>
    <n v="11746"/>
    <n v="116809211"/>
    <s v="Recovery"/>
    <n v="200"/>
    <s v="AHY"/>
    <s v="F"/>
    <n v="9"/>
    <n v="2015"/>
    <n v="2015"/>
    <n v="11"/>
    <x v="0"/>
    <s v="11B"/>
    <x v="14"/>
    <n v="1"/>
    <n v="7"/>
    <x v="0"/>
    <x v="0"/>
  </r>
  <r>
    <n v="11755"/>
    <n v="116809220"/>
    <s v="Recovery"/>
    <n v="200"/>
    <s v="AHY"/>
    <s v="F"/>
    <n v="1"/>
    <n v="2015"/>
    <n v="2014"/>
    <n v="10"/>
    <x v="0"/>
    <s v="10B"/>
    <x v="7"/>
    <n v="1"/>
    <n v="51"/>
    <x v="21"/>
    <x v="1"/>
  </r>
  <r>
    <n v="11757"/>
    <n v="116809222"/>
    <s v="Recovery"/>
    <n v="200"/>
    <s v="AHY"/>
    <s v="M"/>
    <n v="9"/>
    <n v="2016"/>
    <n v="2016"/>
    <n v="12"/>
    <x v="0"/>
    <s v="12B"/>
    <x v="12"/>
    <n v="1"/>
    <n v="7"/>
    <x v="0"/>
    <x v="0"/>
  </r>
  <r>
    <n v="11762"/>
    <n v="116809227"/>
    <s v="Recovery"/>
    <n v="200"/>
    <s v="AHY"/>
    <s v="M"/>
    <n v="1"/>
    <n v="2020"/>
    <n v="2019"/>
    <n v="15"/>
    <x v="0"/>
    <s v="15B"/>
    <x v="11"/>
    <n v="1"/>
    <n v="82"/>
    <x v="15"/>
    <x v="1"/>
  </r>
  <r>
    <n v="11763"/>
    <n v="116809228"/>
    <s v="Recovery"/>
    <n v="200"/>
    <s v="AHY"/>
    <s v="F"/>
    <n v="9"/>
    <n v="2016"/>
    <n v="2016"/>
    <n v="12"/>
    <x v="0"/>
    <s v="12B"/>
    <x v="12"/>
    <n v="1"/>
    <n v="7"/>
    <x v="0"/>
    <x v="0"/>
  </r>
  <r>
    <n v="11768"/>
    <n v="116809233"/>
    <s v="Recovery"/>
    <n v="200"/>
    <s v="AHY"/>
    <s v="M"/>
    <n v="9"/>
    <n v="2015"/>
    <n v="2015"/>
    <n v="11"/>
    <x v="0"/>
    <s v="11B"/>
    <x v="14"/>
    <n v="1"/>
    <n v="7"/>
    <x v="0"/>
    <x v="0"/>
  </r>
  <r>
    <n v="11771"/>
    <n v="116809236"/>
    <s v="Recovery"/>
    <n v="200"/>
    <s v="AHY"/>
    <s v="F"/>
    <n v="9"/>
    <n v="2018"/>
    <n v="2018"/>
    <n v="14"/>
    <x v="0"/>
    <s v="14B"/>
    <x v="10"/>
    <n v="1"/>
    <n v="7"/>
    <x v="0"/>
    <x v="0"/>
  </r>
  <r>
    <n v="11779"/>
    <n v="116809244"/>
    <s v="Recovery"/>
    <n v="200"/>
    <s v="AHY"/>
    <s v="M"/>
    <n v="9"/>
    <n v="2014"/>
    <n v="2014"/>
    <n v="10"/>
    <x v="0"/>
    <s v="10B"/>
    <x v="7"/>
    <n v="1"/>
    <n v="7"/>
    <x v="0"/>
    <x v="0"/>
  </r>
  <r>
    <n v="11780"/>
    <n v="116809245"/>
    <s v="Recovery"/>
    <n v="200"/>
    <s v="AHY"/>
    <s v="M"/>
    <n v="9"/>
    <n v="2014"/>
    <n v="2014"/>
    <n v="10"/>
    <x v="0"/>
    <s v="10B"/>
    <x v="7"/>
    <n v="1"/>
    <n v="7"/>
    <x v="0"/>
    <x v="0"/>
  </r>
  <r>
    <n v="11781"/>
    <n v="116809246"/>
    <s v="Recovery"/>
    <n v="200"/>
    <s v="AHY"/>
    <s v="F"/>
    <n v="2"/>
    <n v="2021"/>
    <n v="2020"/>
    <n v="16"/>
    <x v="0"/>
    <s v="16B"/>
    <x v="15"/>
    <n v="1"/>
    <n v="7"/>
    <x v="0"/>
    <x v="0"/>
  </r>
  <r>
    <n v="11782"/>
    <n v="116809247"/>
    <s v="Recovery"/>
    <n v="200"/>
    <s v="AHY"/>
    <s v="F"/>
    <n v="9"/>
    <n v="2014"/>
    <n v="2014"/>
    <n v="10"/>
    <x v="0"/>
    <s v="10B"/>
    <x v="7"/>
    <n v="1"/>
    <n v="7"/>
    <x v="0"/>
    <x v="0"/>
  </r>
  <r>
    <n v="11785"/>
    <n v="116809250"/>
    <s v="Recovery"/>
    <n v="200"/>
    <s v="AHY"/>
    <s v="M"/>
    <n v="9"/>
    <n v="2014"/>
    <n v="2014"/>
    <n v="10"/>
    <x v="0"/>
    <s v="10B"/>
    <x v="7"/>
    <n v="1"/>
    <n v="7"/>
    <x v="0"/>
    <x v="0"/>
  </r>
  <r>
    <n v="11792"/>
    <n v="116809257"/>
    <s v="Recovery"/>
    <n v="200"/>
    <s v="AHY"/>
    <s v="F"/>
    <n v="12"/>
    <n v="2018"/>
    <n v="2018"/>
    <n v="14"/>
    <x v="0"/>
    <s v="14B"/>
    <x v="10"/>
    <n v="1"/>
    <n v="7"/>
    <x v="0"/>
    <x v="0"/>
  </r>
  <r>
    <n v="11795"/>
    <n v="116809260"/>
    <s v="Recovery"/>
    <n v="200"/>
    <s v="AHY"/>
    <s v="F"/>
    <n v="9"/>
    <n v="2015"/>
    <n v="2015"/>
    <n v="11"/>
    <x v="0"/>
    <s v="11B"/>
    <x v="14"/>
    <n v="1"/>
    <n v="7"/>
    <x v="0"/>
    <x v="0"/>
  </r>
  <r>
    <n v="11800"/>
    <n v="116809265"/>
    <s v="Recovery"/>
    <n v="200"/>
    <s v="AHY"/>
    <s v="M"/>
    <n v="9"/>
    <n v="2014"/>
    <n v="2014"/>
    <n v="10"/>
    <x v="0"/>
    <s v="10B"/>
    <x v="7"/>
    <n v="1"/>
    <n v="7"/>
    <x v="0"/>
    <x v="0"/>
  </r>
  <r>
    <n v="11803"/>
    <n v="116809268"/>
    <s v="Recovery"/>
    <n v="200"/>
    <s v="AHY"/>
    <s v="M"/>
    <n v="9"/>
    <n v="2014"/>
    <n v="2014"/>
    <n v="10"/>
    <x v="0"/>
    <s v="10B"/>
    <x v="7"/>
    <n v="1"/>
    <n v="7"/>
    <x v="0"/>
    <x v="0"/>
  </r>
  <r>
    <n v="11809"/>
    <n v="116809274"/>
    <s v="Recovery"/>
    <n v="200"/>
    <s v="AHY"/>
    <s v="F"/>
    <n v="9"/>
    <n v="2015"/>
    <n v="2015"/>
    <n v="11"/>
    <x v="0"/>
    <s v="11B"/>
    <x v="14"/>
    <n v="1"/>
    <n v="7"/>
    <x v="0"/>
    <x v="0"/>
  </r>
  <r>
    <n v="11812"/>
    <n v="116809277"/>
    <s v="Recovery"/>
    <n v="200"/>
    <s v="AHY"/>
    <s v="M"/>
    <n v="1"/>
    <n v="2016"/>
    <n v="2015"/>
    <n v="11"/>
    <x v="0"/>
    <s v="11B"/>
    <x v="14"/>
    <n v="1"/>
    <n v="7"/>
    <x v="0"/>
    <x v="0"/>
  </r>
  <r>
    <n v="11813"/>
    <n v="116809278"/>
    <s v="Recovery"/>
    <n v="200"/>
    <s v="AHY"/>
    <s v="F"/>
    <n v="1"/>
    <n v="2015"/>
    <n v="2014"/>
    <n v="10"/>
    <x v="0"/>
    <s v="10B"/>
    <x v="7"/>
    <n v="1"/>
    <n v="7"/>
    <x v="0"/>
    <x v="0"/>
  </r>
  <r>
    <n v="11816"/>
    <n v="116809281"/>
    <s v="Recovery"/>
    <n v="200"/>
    <s v="AHY"/>
    <s v="M"/>
    <n v="9"/>
    <n v="2019"/>
    <n v="2019"/>
    <n v="15"/>
    <x v="0"/>
    <s v="15B"/>
    <x v="11"/>
    <n v="1"/>
    <n v="7"/>
    <x v="0"/>
    <x v="0"/>
  </r>
  <r>
    <n v="11820"/>
    <n v="116809285"/>
    <s v="Recovery"/>
    <n v="200"/>
    <s v="AHY"/>
    <s v="M"/>
    <n v="9"/>
    <n v="2015"/>
    <n v="2015"/>
    <n v="11"/>
    <x v="0"/>
    <s v="11B"/>
    <x v="14"/>
    <n v="1"/>
    <n v="7"/>
    <x v="0"/>
    <x v="0"/>
  </r>
  <r>
    <n v="11823"/>
    <n v="116809288"/>
    <s v="Recovery"/>
    <n v="200"/>
    <s v="AHY"/>
    <s v="F"/>
    <n v="9"/>
    <n v="2014"/>
    <n v="2014"/>
    <n v="10"/>
    <x v="0"/>
    <s v="10B"/>
    <x v="7"/>
    <n v="1"/>
    <n v="7"/>
    <x v="0"/>
    <x v="0"/>
  </r>
  <r>
    <n v="11827"/>
    <n v="116809292"/>
    <s v="Recovery"/>
    <n v="200"/>
    <s v="AHY"/>
    <s v="M"/>
    <n v="9"/>
    <n v="2016"/>
    <n v="2016"/>
    <n v="12"/>
    <x v="0"/>
    <s v="12B"/>
    <x v="12"/>
    <n v="1"/>
    <n v="7"/>
    <x v="0"/>
    <x v="0"/>
  </r>
  <r>
    <n v="11829"/>
    <n v="116809294"/>
    <s v="Recovery"/>
    <n v="200"/>
    <s v="AHY"/>
    <s v="F"/>
    <n v="1"/>
    <n v="2015"/>
    <n v="2014"/>
    <n v="10"/>
    <x v="0"/>
    <s v="10B"/>
    <x v="7"/>
    <n v="1"/>
    <n v="7"/>
    <x v="0"/>
    <x v="0"/>
  </r>
  <r>
    <n v="11831"/>
    <n v="116809296"/>
    <s v="Recovery"/>
    <n v="200"/>
    <s v="AHY"/>
    <s v="F"/>
    <n v="9"/>
    <n v="2016"/>
    <n v="2016"/>
    <n v="12"/>
    <x v="0"/>
    <s v="12B"/>
    <x v="12"/>
    <n v="1"/>
    <n v="7"/>
    <x v="0"/>
    <x v="0"/>
  </r>
  <r>
    <n v="11832"/>
    <n v="116809297"/>
    <s v="Recovery"/>
    <n v="200"/>
    <s v="AHY"/>
    <s v="F"/>
    <n v="12"/>
    <n v="2018"/>
    <n v="2018"/>
    <n v="14"/>
    <x v="0"/>
    <s v="14B"/>
    <x v="10"/>
    <n v="1"/>
    <n v="7"/>
    <x v="0"/>
    <x v="0"/>
  </r>
  <r>
    <n v="11835"/>
    <n v="116809300"/>
    <s v="Recovery"/>
    <n v="200"/>
    <s v="AHY"/>
    <s v="F"/>
    <n v="2"/>
    <n v="2018"/>
    <n v="2017"/>
    <n v="13"/>
    <x v="0"/>
    <s v="13B"/>
    <x v="13"/>
    <n v="1"/>
    <n v="7"/>
    <x v="0"/>
    <x v="0"/>
  </r>
  <r>
    <n v="11836"/>
    <n v="116809301"/>
    <s v="Recovery"/>
    <n v="200"/>
    <s v="AHY"/>
    <s v="F"/>
    <n v="12"/>
    <n v="2016"/>
    <n v="2016"/>
    <n v="12"/>
    <x v="0"/>
    <s v="12B"/>
    <x v="12"/>
    <n v="1"/>
    <n v="7"/>
    <x v="0"/>
    <x v="0"/>
  </r>
  <r>
    <n v="11841"/>
    <n v="116809306"/>
    <s v="Recovery"/>
    <n v="200"/>
    <s v="AHY"/>
    <s v="F"/>
    <n v="1"/>
    <n v="2015"/>
    <n v="2014"/>
    <n v="10"/>
    <x v="0"/>
    <s v="10B"/>
    <x v="7"/>
    <n v="1"/>
    <n v="7"/>
    <x v="0"/>
    <x v="0"/>
  </r>
  <r>
    <n v="11846"/>
    <n v="116809311"/>
    <s v="Recovery"/>
    <n v="200"/>
    <s v="AHY"/>
    <s v="F"/>
    <n v="9"/>
    <n v="2014"/>
    <n v="2014"/>
    <n v="10"/>
    <x v="0"/>
    <s v="10B"/>
    <x v="7"/>
    <n v="1"/>
    <n v="7"/>
    <x v="0"/>
    <x v="0"/>
  </r>
  <r>
    <n v="11848"/>
    <n v="116809313"/>
    <s v="Recovery"/>
    <n v="200"/>
    <s v="AHY"/>
    <s v="F"/>
    <n v="9"/>
    <n v="2014"/>
    <n v="2014"/>
    <n v="10"/>
    <x v="0"/>
    <s v="10B"/>
    <x v="7"/>
    <n v="1"/>
    <n v="7"/>
    <x v="0"/>
    <x v="0"/>
  </r>
  <r>
    <n v="11849"/>
    <n v="116809314"/>
    <s v="Recovery"/>
    <n v="200"/>
    <s v="AHY"/>
    <s v="M"/>
    <n v="9"/>
    <n v="2019"/>
    <n v="2019"/>
    <n v="15"/>
    <x v="0"/>
    <s v="15B"/>
    <x v="11"/>
    <n v="1"/>
    <n v="7"/>
    <x v="0"/>
    <x v="0"/>
  </r>
  <r>
    <n v="11850"/>
    <n v="116809315"/>
    <s v="Recovery"/>
    <n v="200"/>
    <s v="AHY"/>
    <s v="F"/>
    <n v="12"/>
    <n v="2014"/>
    <n v="2014"/>
    <n v="10"/>
    <x v="0"/>
    <s v="10B"/>
    <x v="7"/>
    <n v="1"/>
    <n v="7"/>
    <x v="0"/>
    <x v="0"/>
  </r>
  <r>
    <n v="11851"/>
    <n v="116809316"/>
    <s v="Recovery"/>
    <n v="200"/>
    <s v="AHY"/>
    <s v="M"/>
    <n v="9"/>
    <n v="2018"/>
    <n v="2018"/>
    <n v="14"/>
    <x v="0"/>
    <s v="14B"/>
    <x v="10"/>
    <n v="1"/>
    <n v="7"/>
    <x v="0"/>
    <x v="0"/>
  </r>
  <r>
    <n v="11852"/>
    <n v="116809317"/>
    <s v="Recovery"/>
    <n v="200"/>
    <s v="AHY"/>
    <s v="F"/>
    <n v="11"/>
    <n v="2014"/>
    <n v="2014"/>
    <n v="10"/>
    <x v="0"/>
    <s v="10B"/>
    <x v="7"/>
    <n v="1"/>
    <n v="7"/>
    <x v="0"/>
    <x v="0"/>
  </r>
  <r>
    <n v="11854"/>
    <n v="116809319"/>
    <s v="Recovery"/>
    <n v="200"/>
    <s v="AHY"/>
    <s v="M"/>
    <n v="9"/>
    <n v="2014"/>
    <n v="2014"/>
    <n v="10"/>
    <x v="0"/>
    <s v="10B"/>
    <x v="7"/>
    <n v="1"/>
    <n v="7"/>
    <x v="0"/>
    <x v="0"/>
  </r>
  <r>
    <n v="11855"/>
    <n v="116809320"/>
    <s v="Recovery"/>
    <n v="200"/>
    <s v="AHY"/>
    <s v="F"/>
    <n v="9"/>
    <n v="2014"/>
    <n v="2014"/>
    <n v="10"/>
    <x v="0"/>
    <s v="10B"/>
    <x v="7"/>
    <n v="1"/>
    <n v="7"/>
    <x v="0"/>
    <x v="0"/>
  </r>
  <r>
    <n v="11860"/>
    <n v="116809325"/>
    <s v="Recovery"/>
    <n v="200"/>
    <s v="AHY"/>
    <s v="M"/>
    <n v="9"/>
    <n v="2014"/>
    <n v="2014"/>
    <n v="10"/>
    <x v="0"/>
    <s v="10B"/>
    <x v="7"/>
    <n v="1"/>
    <n v="7"/>
    <x v="0"/>
    <x v="0"/>
  </r>
  <r>
    <n v="11861"/>
    <n v="116809326"/>
    <s v="Recovery"/>
    <n v="200"/>
    <s v="AHY"/>
    <s v="M"/>
    <n v="12"/>
    <n v="2014"/>
    <n v="2014"/>
    <n v="10"/>
    <x v="0"/>
    <s v="10B"/>
    <x v="7"/>
    <n v="1"/>
    <n v="7"/>
    <x v="0"/>
    <x v="0"/>
  </r>
  <r>
    <n v="11864"/>
    <n v="116809329"/>
    <s v="Recovery"/>
    <n v="200"/>
    <s v="AHY"/>
    <s v="M"/>
    <n v="1"/>
    <n v="2018"/>
    <n v="2017"/>
    <n v="13"/>
    <x v="0"/>
    <s v="13B"/>
    <x v="13"/>
    <n v="1"/>
    <n v="7"/>
    <x v="0"/>
    <x v="0"/>
  </r>
  <r>
    <n v="11868"/>
    <n v="116809333"/>
    <s v="Recovery"/>
    <n v="200"/>
    <s v="AHY"/>
    <s v="F"/>
    <n v="12"/>
    <n v="2014"/>
    <n v="2014"/>
    <n v="10"/>
    <x v="0"/>
    <s v="10B"/>
    <x v="7"/>
    <n v="1"/>
    <n v="7"/>
    <x v="0"/>
    <x v="0"/>
  </r>
  <r>
    <n v="11874"/>
    <n v="116809339"/>
    <s v="Recovery"/>
    <n v="200"/>
    <s v="AHY"/>
    <s v="M"/>
    <n v="1"/>
    <n v="2015"/>
    <n v="2014"/>
    <n v="10"/>
    <x v="0"/>
    <s v="10B"/>
    <x v="7"/>
    <n v="1"/>
    <n v="7"/>
    <x v="0"/>
    <x v="0"/>
  </r>
  <r>
    <n v="11875"/>
    <n v="116809340"/>
    <s v="Recovery"/>
    <n v="200"/>
    <s v="AHY"/>
    <s v="F"/>
    <n v="9"/>
    <n v="2015"/>
    <n v="2015"/>
    <n v="11"/>
    <x v="0"/>
    <s v="11B"/>
    <x v="14"/>
    <n v="1"/>
    <n v="7"/>
    <x v="0"/>
    <x v="0"/>
  </r>
  <r>
    <n v="11878"/>
    <n v="116809343"/>
    <s v="Recovery"/>
    <n v="200"/>
    <s v="AHY"/>
    <s v="F"/>
    <n v="1"/>
    <n v="2015"/>
    <n v="2014"/>
    <n v="10"/>
    <x v="0"/>
    <s v="10B"/>
    <x v="7"/>
    <n v="1"/>
    <n v="7"/>
    <x v="0"/>
    <x v="0"/>
  </r>
  <r>
    <n v="11882"/>
    <n v="116809347"/>
    <s v="Recovery"/>
    <n v="200"/>
    <s v="AHY"/>
    <s v="F"/>
    <n v="11"/>
    <n v="2014"/>
    <n v="2014"/>
    <n v="10"/>
    <x v="0"/>
    <s v="10B"/>
    <x v="7"/>
    <n v="1"/>
    <n v="7"/>
    <x v="0"/>
    <x v="0"/>
  </r>
  <r>
    <n v="11884"/>
    <n v="116809349"/>
    <s v="Recovery"/>
    <n v="200"/>
    <s v="AHY"/>
    <s v="M"/>
    <n v="9"/>
    <n v="2015"/>
    <n v="2015"/>
    <n v="11"/>
    <x v="0"/>
    <s v="11B"/>
    <x v="14"/>
    <n v="1"/>
    <n v="7"/>
    <x v="0"/>
    <x v="0"/>
  </r>
  <r>
    <n v="11885"/>
    <n v="116809350"/>
    <s v="Recovery"/>
    <n v="200"/>
    <s v="AHY"/>
    <s v="M"/>
    <n v="9"/>
    <n v="2015"/>
    <n v="2015"/>
    <n v="11"/>
    <x v="0"/>
    <s v="11B"/>
    <x v="14"/>
    <n v="1"/>
    <n v="7"/>
    <x v="0"/>
    <x v="0"/>
  </r>
  <r>
    <n v="11896"/>
    <n v="116809361"/>
    <s v="Recovery"/>
    <n v="200"/>
    <s v="AHY"/>
    <s v="F"/>
    <n v="9"/>
    <n v="2015"/>
    <n v="2015"/>
    <n v="11"/>
    <x v="0"/>
    <s v="11B"/>
    <x v="14"/>
    <n v="1"/>
    <n v="7"/>
    <x v="0"/>
    <x v="0"/>
  </r>
  <r>
    <n v="11907"/>
    <n v="116809372"/>
    <s v="Recovery"/>
    <n v="200"/>
    <s v="AHY"/>
    <s v="F"/>
    <n v="9"/>
    <n v="2016"/>
    <n v="2016"/>
    <n v="12"/>
    <x v="0"/>
    <s v="12B"/>
    <x v="12"/>
    <n v="1"/>
    <n v="7"/>
    <x v="0"/>
    <x v="0"/>
  </r>
  <r>
    <n v="11908"/>
    <n v="116809373"/>
    <s v="Recovery"/>
    <n v="200"/>
    <s v="AHY"/>
    <s v="F"/>
    <n v="1"/>
    <n v="2017"/>
    <n v="2016"/>
    <n v="12"/>
    <x v="0"/>
    <s v="12B"/>
    <x v="12"/>
    <n v="1"/>
    <n v="7"/>
    <x v="0"/>
    <x v="0"/>
  </r>
  <r>
    <n v="11910"/>
    <n v="116809375"/>
    <s v="Recovery"/>
    <n v="200"/>
    <s v="AHY"/>
    <s v="M"/>
    <n v="1"/>
    <n v="2020"/>
    <n v="2019"/>
    <n v="15"/>
    <x v="0"/>
    <s v="15B"/>
    <x v="11"/>
    <n v="1"/>
    <n v="7"/>
    <x v="0"/>
    <x v="0"/>
  </r>
  <r>
    <n v="11920"/>
    <n v="116809385"/>
    <s v="Recovery"/>
    <n v="200"/>
    <s v="AHY"/>
    <s v="M"/>
    <n v="12"/>
    <n v="2014"/>
    <n v="2014"/>
    <n v="10"/>
    <x v="0"/>
    <s v="10B"/>
    <x v="7"/>
    <n v="1"/>
    <n v="7"/>
    <x v="0"/>
    <x v="0"/>
  </r>
  <r>
    <n v="11921"/>
    <n v="116809386"/>
    <s v="Recovery"/>
    <n v="200"/>
    <s v="AHY"/>
    <s v="F"/>
    <n v="1"/>
    <n v="2016"/>
    <n v="2015"/>
    <n v="11"/>
    <x v="0"/>
    <s v="11B"/>
    <x v="14"/>
    <n v="1"/>
    <n v="7"/>
    <x v="0"/>
    <x v="0"/>
  </r>
  <r>
    <n v="11924"/>
    <n v="116809389"/>
    <s v="Recovery"/>
    <n v="200"/>
    <s v="AHY"/>
    <s v="M"/>
    <n v="12"/>
    <n v="2017"/>
    <n v="2017"/>
    <n v="13"/>
    <x v="0"/>
    <s v="13B"/>
    <x v="13"/>
    <n v="1"/>
    <n v="7"/>
    <x v="0"/>
    <x v="0"/>
  </r>
  <r>
    <n v="11932"/>
    <n v="116809397"/>
    <s v="Recovery"/>
    <n v="200"/>
    <s v="AHY"/>
    <s v="F"/>
    <n v="9"/>
    <n v="2015"/>
    <n v="2015"/>
    <n v="11"/>
    <x v="0"/>
    <s v="11B"/>
    <x v="14"/>
    <n v="1"/>
    <n v="7"/>
    <x v="0"/>
    <x v="0"/>
  </r>
  <r>
    <n v="11936"/>
    <n v="116809401"/>
    <s v="Recovery"/>
    <n v="200"/>
    <s v="AHY"/>
    <s v="M"/>
    <n v="9"/>
    <n v="2015"/>
    <n v="2015"/>
    <n v="11"/>
    <x v="0"/>
    <s v="11B"/>
    <x v="14"/>
    <n v="1"/>
    <n v="7"/>
    <x v="0"/>
    <x v="0"/>
  </r>
  <r>
    <n v="11946"/>
    <n v="116809411"/>
    <s v="Recovery"/>
    <n v="200"/>
    <s v="AHY"/>
    <s v="F"/>
    <n v="1"/>
    <n v="2017"/>
    <n v="2016"/>
    <n v="12"/>
    <x v="0"/>
    <s v="12B"/>
    <x v="12"/>
    <n v="1"/>
    <n v="7"/>
    <x v="0"/>
    <x v="0"/>
  </r>
  <r>
    <n v="11951"/>
    <n v="116809416"/>
    <s v="Recovery"/>
    <n v="200"/>
    <s v="AHY"/>
    <s v="F"/>
    <n v="1"/>
    <n v="2021"/>
    <n v="2020"/>
    <n v="16"/>
    <x v="0"/>
    <s v="16B"/>
    <x v="15"/>
    <n v="1"/>
    <n v="7"/>
    <x v="0"/>
    <x v="0"/>
  </r>
  <r>
    <n v="11952"/>
    <n v="116809417"/>
    <s v="Recovery"/>
    <n v="200"/>
    <s v="AHY"/>
    <s v="M"/>
    <n v="12"/>
    <n v="2016"/>
    <n v="2016"/>
    <n v="12"/>
    <x v="0"/>
    <s v="12B"/>
    <x v="12"/>
    <n v="1"/>
    <n v="7"/>
    <x v="0"/>
    <x v="0"/>
  </r>
  <r>
    <n v="11959"/>
    <n v="116809424"/>
    <s v="Recovery"/>
    <n v="200"/>
    <s v="AHY"/>
    <s v="M"/>
    <n v="9"/>
    <n v="2014"/>
    <n v="2014"/>
    <n v="10"/>
    <x v="0"/>
    <s v="10B"/>
    <x v="7"/>
    <n v="1"/>
    <n v="7"/>
    <x v="0"/>
    <x v="0"/>
  </r>
  <r>
    <n v="11960"/>
    <n v="116809425"/>
    <s v="Recovery"/>
    <n v="200"/>
    <s v="AHY"/>
    <s v="F"/>
    <n v="1"/>
    <n v="2015"/>
    <n v="2014"/>
    <n v="10"/>
    <x v="0"/>
    <s v="10B"/>
    <x v="7"/>
    <n v="1"/>
    <n v="7"/>
    <x v="0"/>
    <x v="0"/>
  </r>
  <r>
    <n v="11961"/>
    <n v="116809426"/>
    <s v="Recovery"/>
    <n v="200"/>
    <s v="AHY"/>
    <s v="F"/>
    <n v="1"/>
    <n v="2017"/>
    <n v="2016"/>
    <n v="12"/>
    <x v="0"/>
    <s v="12B"/>
    <x v="12"/>
    <n v="1"/>
    <n v="7"/>
    <x v="0"/>
    <x v="0"/>
  </r>
  <r>
    <n v="11967"/>
    <n v="116809432"/>
    <s v="Recovery"/>
    <n v="200"/>
    <s v="AHY"/>
    <s v="F"/>
    <n v="12"/>
    <n v="2017"/>
    <n v="2017"/>
    <n v="13"/>
    <x v="0"/>
    <s v="13B"/>
    <x v="13"/>
    <n v="1"/>
    <n v="7"/>
    <x v="0"/>
    <x v="0"/>
  </r>
  <r>
    <n v="11969"/>
    <n v="116809434"/>
    <s v="Recovery"/>
    <n v="200"/>
    <s v="AHY"/>
    <s v="M"/>
    <n v="12"/>
    <n v="2014"/>
    <n v="2014"/>
    <n v="10"/>
    <x v="0"/>
    <s v="10B"/>
    <x v="7"/>
    <n v="1"/>
    <n v="7"/>
    <x v="0"/>
    <x v="0"/>
  </r>
  <r>
    <n v="11972"/>
    <n v="116809437"/>
    <s v="Recovery"/>
    <n v="200"/>
    <s v="AHY"/>
    <s v="M"/>
    <n v="1"/>
    <n v="2016"/>
    <n v="2015"/>
    <n v="11"/>
    <x v="0"/>
    <s v="11B"/>
    <x v="14"/>
    <n v="1"/>
    <n v="7"/>
    <x v="0"/>
    <x v="0"/>
  </r>
  <r>
    <n v="11973"/>
    <n v="116809438"/>
    <s v="Recovery"/>
    <n v="200"/>
    <s v="AHY"/>
    <s v="M"/>
    <n v="1"/>
    <n v="2016"/>
    <n v="2015"/>
    <n v="11"/>
    <x v="0"/>
    <s v="11B"/>
    <x v="14"/>
    <n v="1"/>
    <n v="7"/>
    <x v="0"/>
    <x v="0"/>
  </r>
  <r>
    <n v="11975"/>
    <n v="116809440"/>
    <s v="Recovery"/>
    <n v="200"/>
    <s v="AHY"/>
    <s v="F"/>
    <n v="12"/>
    <n v="2020"/>
    <n v="2020"/>
    <n v="16"/>
    <x v="0"/>
    <s v="16B"/>
    <x v="15"/>
    <n v="1"/>
    <n v="7"/>
    <x v="0"/>
    <x v="0"/>
  </r>
  <r>
    <n v="11978"/>
    <n v="116809443"/>
    <s v="Recovery"/>
    <n v="200"/>
    <s v="AHY"/>
    <s v="M"/>
    <n v="1"/>
    <n v="2018"/>
    <n v="2017"/>
    <n v="13"/>
    <x v="0"/>
    <s v="13B"/>
    <x v="13"/>
    <n v="1"/>
    <n v="42"/>
    <x v="22"/>
    <x v="1"/>
  </r>
  <r>
    <n v="11981"/>
    <n v="116809446"/>
    <s v="Recovery"/>
    <n v="200"/>
    <s v="AHY"/>
    <s v="F"/>
    <n v="1"/>
    <n v="2019"/>
    <n v="2018"/>
    <n v="14"/>
    <x v="0"/>
    <s v="14B"/>
    <x v="10"/>
    <n v="1"/>
    <n v="7"/>
    <x v="0"/>
    <x v="0"/>
  </r>
  <r>
    <n v="11982"/>
    <n v="116809447"/>
    <s v="Recovery"/>
    <n v="200"/>
    <s v="AHY"/>
    <s v="M"/>
    <n v="12"/>
    <n v="2018"/>
    <n v="2018"/>
    <n v="14"/>
    <x v="0"/>
    <s v="14B"/>
    <x v="10"/>
    <n v="1"/>
    <n v="7"/>
    <x v="0"/>
    <x v="0"/>
  </r>
  <r>
    <n v="11986"/>
    <n v="116809451"/>
    <s v="Recovery"/>
    <n v="200"/>
    <s v="AHY"/>
    <s v="M"/>
    <n v="11"/>
    <n v="2014"/>
    <n v="2014"/>
    <n v="10"/>
    <x v="0"/>
    <s v="10B"/>
    <x v="7"/>
    <n v="1"/>
    <n v="7"/>
    <x v="0"/>
    <x v="0"/>
  </r>
  <r>
    <n v="11988"/>
    <n v="116809453"/>
    <s v="Recovery"/>
    <n v="200"/>
    <s v="AHY"/>
    <s v="M"/>
    <n v="9"/>
    <n v="2014"/>
    <n v="2014"/>
    <n v="10"/>
    <x v="0"/>
    <s v="10B"/>
    <x v="7"/>
    <n v="1"/>
    <n v="7"/>
    <x v="0"/>
    <x v="0"/>
  </r>
  <r>
    <n v="11989"/>
    <n v="116809454"/>
    <s v="Recovery"/>
    <n v="200"/>
    <s v="AHY"/>
    <s v="F"/>
    <n v="12"/>
    <n v="2015"/>
    <n v="2015"/>
    <n v="11"/>
    <x v="0"/>
    <s v="11B"/>
    <x v="14"/>
    <n v="1"/>
    <n v="7"/>
    <x v="0"/>
    <x v="0"/>
  </r>
  <r>
    <n v="11993"/>
    <n v="116809458"/>
    <s v="Recovery"/>
    <n v="200"/>
    <s v="AHY"/>
    <s v="M"/>
    <n v="11"/>
    <n v="2019"/>
    <n v="2019"/>
    <n v="15"/>
    <x v="0"/>
    <s v="15B"/>
    <x v="11"/>
    <n v="1"/>
    <n v="7"/>
    <x v="0"/>
    <x v="0"/>
  </r>
  <r>
    <n v="11998"/>
    <n v="116809463"/>
    <s v="Recovery"/>
    <n v="200"/>
    <s v="AHY"/>
    <s v="M"/>
    <n v="12"/>
    <n v="2018"/>
    <n v="2018"/>
    <n v="14"/>
    <x v="0"/>
    <s v="14B"/>
    <x v="10"/>
    <n v="1"/>
    <n v="7"/>
    <x v="0"/>
    <x v="0"/>
  </r>
  <r>
    <n v="12004"/>
    <n v="116809469"/>
    <s v="Recovery"/>
    <n v="200"/>
    <s v="AHY"/>
    <s v="M"/>
    <n v="12"/>
    <n v="2015"/>
    <n v="2015"/>
    <n v="11"/>
    <x v="0"/>
    <s v="11B"/>
    <x v="14"/>
    <n v="1"/>
    <n v="7"/>
    <x v="0"/>
    <x v="0"/>
  </r>
  <r>
    <n v="12005"/>
    <n v="116809470"/>
    <s v="Recovery"/>
    <n v="200"/>
    <s v="AHY"/>
    <s v="F"/>
    <n v="1"/>
    <n v="2017"/>
    <n v="2016"/>
    <n v="12"/>
    <x v="0"/>
    <s v="12B"/>
    <x v="12"/>
    <n v="1"/>
    <n v="7"/>
    <x v="0"/>
    <x v="0"/>
  </r>
  <r>
    <n v="12006"/>
    <n v="116809471"/>
    <s v="Recovery"/>
    <n v="200"/>
    <s v="AHY"/>
    <s v="M"/>
    <n v="12"/>
    <n v="2015"/>
    <n v="2015"/>
    <n v="11"/>
    <x v="0"/>
    <s v="11B"/>
    <x v="14"/>
    <n v="1"/>
    <n v="7"/>
    <x v="0"/>
    <x v="0"/>
  </r>
  <r>
    <n v="12008"/>
    <n v="116809473"/>
    <s v="Recovery"/>
    <n v="200"/>
    <s v="AHY"/>
    <s v="M"/>
    <n v="12"/>
    <n v="2016"/>
    <n v="2016"/>
    <n v="12"/>
    <x v="0"/>
    <s v="12B"/>
    <x v="12"/>
    <n v="1"/>
    <n v="7"/>
    <x v="0"/>
    <x v="0"/>
  </r>
  <r>
    <n v="12012"/>
    <n v="116809477"/>
    <s v="Recovery"/>
    <n v="200"/>
    <s v="AHY"/>
    <s v="M"/>
    <n v="9"/>
    <n v="2016"/>
    <n v="2016"/>
    <n v="12"/>
    <x v="0"/>
    <s v="12B"/>
    <x v="12"/>
    <n v="1"/>
    <n v="7"/>
    <x v="0"/>
    <x v="0"/>
  </r>
  <r>
    <n v="12019"/>
    <n v="114890480"/>
    <s v="Recovery"/>
    <n v="200"/>
    <s v="AHY"/>
    <s v="F"/>
    <n v="12"/>
    <n v="2014"/>
    <n v="2014"/>
    <n v="10"/>
    <x v="0"/>
    <s v="10B"/>
    <x v="7"/>
    <n v="1"/>
    <n v="7"/>
    <x v="0"/>
    <x v="0"/>
  </r>
  <r>
    <n v="12020"/>
    <n v="114890481"/>
    <s v="Recovery"/>
    <n v="200"/>
    <s v="AHY"/>
    <s v="M"/>
    <n v="9"/>
    <n v="2014"/>
    <n v="2014"/>
    <n v="10"/>
    <x v="0"/>
    <s v="10B"/>
    <x v="7"/>
    <n v="1"/>
    <n v="7"/>
    <x v="0"/>
    <x v="0"/>
  </r>
  <r>
    <n v="12022"/>
    <n v="114890483"/>
    <s v="Recovery"/>
    <n v="200"/>
    <s v="AHY"/>
    <s v="M"/>
    <n v="1"/>
    <n v="2018"/>
    <n v="2017"/>
    <n v="13"/>
    <x v="0"/>
    <s v="13B"/>
    <x v="13"/>
    <n v="1"/>
    <n v="7"/>
    <x v="0"/>
    <x v="0"/>
  </r>
  <r>
    <n v="12025"/>
    <n v="114890486"/>
    <s v="Recovery"/>
    <n v="200"/>
    <s v="AHY"/>
    <s v="F"/>
    <n v="1"/>
    <n v="2015"/>
    <n v="2014"/>
    <n v="10"/>
    <x v="0"/>
    <s v="10B"/>
    <x v="7"/>
    <n v="1"/>
    <n v="7"/>
    <x v="0"/>
    <x v="0"/>
  </r>
  <r>
    <n v="12027"/>
    <n v="114890488"/>
    <s v="Recovery"/>
    <n v="200"/>
    <s v="AHY"/>
    <s v="M"/>
    <n v="1"/>
    <n v="2018"/>
    <n v="2017"/>
    <n v="13"/>
    <x v="0"/>
    <s v="13B"/>
    <x v="13"/>
    <n v="1"/>
    <n v="51"/>
    <x v="21"/>
    <x v="1"/>
  </r>
  <r>
    <n v="12029"/>
    <n v="114890490"/>
    <s v="Recovery"/>
    <n v="200"/>
    <s v="AHY"/>
    <s v="M"/>
    <n v="10"/>
    <n v="2019"/>
    <n v="2019"/>
    <n v="15"/>
    <x v="0"/>
    <s v="15B"/>
    <x v="11"/>
    <n v="1"/>
    <n v="7"/>
    <x v="0"/>
    <x v="0"/>
  </r>
  <r>
    <n v="12031"/>
    <n v="114890492"/>
    <s v="Recovery"/>
    <n v="200"/>
    <s v="AHY"/>
    <s v="M"/>
    <n v="12"/>
    <n v="2014"/>
    <n v="2014"/>
    <n v="10"/>
    <x v="0"/>
    <s v="10B"/>
    <x v="7"/>
    <n v="1"/>
    <n v="7"/>
    <x v="0"/>
    <x v="0"/>
  </r>
  <r>
    <n v="12033"/>
    <n v="114890494"/>
    <s v="Recovery"/>
    <n v="200"/>
    <s v="AHY"/>
    <s v="F"/>
    <n v="1"/>
    <n v="2016"/>
    <n v="2015"/>
    <n v="11"/>
    <x v="0"/>
    <s v="11B"/>
    <x v="14"/>
    <n v="1"/>
    <n v="7"/>
    <x v="0"/>
    <x v="0"/>
  </r>
  <r>
    <n v="12037"/>
    <n v="114890498"/>
    <s v="Recovery"/>
    <n v="200"/>
    <s v="AHY"/>
    <s v="M"/>
    <n v="11"/>
    <n v="2018"/>
    <n v="2018"/>
    <n v="14"/>
    <x v="0"/>
    <s v="14B"/>
    <x v="10"/>
    <n v="1"/>
    <n v="7"/>
    <x v="0"/>
    <x v="0"/>
  </r>
  <r>
    <n v="12041"/>
    <n v="116809480"/>
    <s v="Recovery"/>
    <n v="200"/>
    <s v="AHY"/>
    <s v="F"/>
    <n v="12"/>
    <n v="2018"/>
    <n v="2018"/>
    <n v="14"/>
    <x v="0"/>
    <s v="14B"/>
    <x v="10"/>
    <n v="1"/>
    <n v="7"/>
    <x v="0"/>
    <x v="0"/>
  </r>
  <r>
    <n v="12047"/>
    <n v="116809486"/>
    <s v="Recovery"/>
    <n v="200"/>
    <s v="AHY"/>
    <s v="M"/>
    <n v="1"/>
    <n v="2017"/>
    <n v="2016"/>
    <n v="12"/>
    <x v="0"/>
    <s v="12B"/>
    <x v="12"/>
    <n v="1"/>
    <n v="7"/>
    <x v="0"/>
    <x v="0"/>
  </r>
  <r>
    <n v="12050"/>
    <n v="116809489"/>
    <s v="Recovery"/>
    <n v="200"/>
    <s v="AHY"/>
    <s v="F"/>
    <n v="9"/>
    <n v="2017"/>
    <n v="2017"/>
    <n v="13"/>
    <x v="0"/>
    <s v="13B"/>
    <x v="13"/>
    <n v="1"/>
    <n v="7"/>
    <x v="0"/>
    <x v="0"/>
  </r>
  <r>
    <n v="12068"/>
    <n v="116809507"/>
    <s v="Recovery"/>
    <n v="200"/>
    <s v="AHY"/>
    <s v="F"/>
    <n v="1"/>
    <n v="2017"/>
    <n v="2016"/>
    <n v="12"/>
    <x v="0"/>
    <s v="12B"/>
    <x v="12"/>
    <n v="1"/>
    <n v="7"/>
    <x v="0"/>
    <x v="0"/>
  </r>
  <r>
    <n v="12071"/>
    <n v="116809510"/>
    <s v="Recovery"/>
    <n v="200"/>
    <s v="AHY"/>
    <s v="M"/>
    <n v="12"/>
    <n v="2014"/>
    <n v="2014"/>
    <n v="10"/>
    <x v="0"/>
    <s v="10B"/>
    <x v="7"/>
    <n v="1"/>
    <n v="7"/>
    <x v="0"/>
    <x v="0"/>
  </r>
  <r>
    <n v="12074"/>
    <n v="116809513"/>
    <s v="Recovery"/>
    <n v="200"/>
    <s v="AHY"/>
    <s v="F"/>
    <n v="1"/>
    <n v="2016"/>
    <n v="2015"/>
    <n v="11"/>
    <x v="0"/>
    <s v="11B"/>
    <x v="14"/>
    <n v="1"/>
    <n v="7"/>
    <x v="0"/>
    <x v="0"/>
  </r>
  <r>
    <n v="12077"/>
    <n v="116809516"/>
    <s v="Recovery"/>
    <n v="200"/>
    <s v="AHY"/>
    <s v="F"/>
    <n v="9"/>
    <n v="2017"/>
    <n v="2017"/>
    <n v="13"/>
    <x v="0"/>
    <s v="13B"/>
    <x v="13"/>
    <n v="1"/>
    <n v="7"/>
    <x v="0"/>
    <x v="0"/>
  </r>
  <r>
    <n v="12081"/>
    <n v="116809520"/>
    <s v="Recovery"/>
    <n v="200"/>
    <s v="HY"/>
    <s v="F"/>
    <n v="12"/>
    <n v="2014"/>
    <n v="2014"/>
    <n v="10"/>
    <x v="0"/>
    <s v="10B"/>
    <x v="7"/>
    <n v="1"/>
    <n v="7"/>
    <x v="0"/>
    <x v="0"/>
  </r>
  <r>
    <n v="12082"/>
    <n v="116809521"/>
    <s v="Recovery"/>
    <n v="200"/>
    <s v="AHY"/>
    <s v="F"/>
    <n v="9"/>
    <n v="2019"/>
    <n v="2019"/>
    <n v="15"/>
    <x v="0"/>
    <s v="15B"/>
    <x v="11"/>
    <n v="1"/>
    <n v="7"/>
    <x v="0"/>
    <x v="0"/>
  </r>
  <r>
    <n v="12086"/>
    <n v="116809525"/>
    <s v="Recovery"/>
    <n v="200"/>
    <s v="AHY"/>
    <s v="F"/>
    <n v="1"/>
    <n v="2018"/>
    <n v="2017"/>
    <n v="13"/>
    <x v="0"/>
    <s v="13B"/>
    <x v="13"/>
    <n v="1"/>
    <n v="7"/>
    <x v="0"/>
    <x v="0"/>
  </r>
  <r>
    <n v="12092"/>
    <n v="116809531"/>
    <s v="Recovery"/>
    <n v="200"/>
    <s v="AHY"/>
    <s v="M"/>
    <n v="9"/>
    <n v="2015"/>
    <n v="2015"/>
    <n v="11"/>
    <x v="0"/>
    <s v="11B"/>
    <x v="14"/>
    <n v="1"/>
    <n v="7"/>
    <x v="0"/>
    <x v="0"/>
  </r>
  <r>
    <n v="12095"/>
    <n v="116809534"/>
    <s v="Recovery"/>
    <n v="200"/>
    <s v="AHY"/>
    <s v="M"/>
    <n v="1"/>
    <n v="2018"/>
    <n v="2017"/>
    <n v="13"/>
    <x v="0"/>
    <s v="13B"/>
    <x v="13"/>
    <n v="1"/>
    <n v="7"/>
    <x v="0"/>
    <x v="0"/>
  </r>
  <r>
    <n v="12109"/>
    <n v="116809548"/>
    <s v="Recovery"/>
    <n v="200"/>
    <s v="AHY"/>
    <s v="F"/>
    <n v="9"/>
    <n v="2015"/>
    <n v="2015"/>
    <n v="11"/>
    <x v="0"/>
    <s v="11B"/>
    <x v="14"/>
    <n v="1"/>
    <n v="7"/>
    <x v="0"/>
    <x v="0"/>
  </r>
  <r>
    <n v="12113"/>
    <n v="116809552"/>
    <s v="Recovery"/>
    <n v="200"/>
    <s v="AHY"/>
    <s v="M"/>
    <n v="12"/>
    <n v="2015"/>
    <n v="2015"/>
    <n v="11"/>
    <x v="0"/>
    <s v="11B"/>
    <x v="14"/>
    <n v="1"/>
    <n v="7"/>
    <x v="0"/>
    <x v="0"/>
  </r>
  <r>
    <n v="12122"/>
    <n v="116809561"/>
    <s v="Recovery"/>
    <n v="200"/>
    <s v="AHY"/>
    <s v="F"/>
    <n v="1"/>
    <n v="2018"/>
    <n v="2017"/>
    <n v="13"/>
    <x v="0"/>
    <s v="13B"/>
    <x v="13"/>
    <n v="1"/>
    <n v="7"/>
    <x v="0"/>
    <x v="0"/>
  </r>
  <r>
    <n v="12123"/>
    <n v="116809562"/>
    <s v="Recovery"/>
    <n v="200"/>
    <s v="AHY"/>
    <s v="M"/>
    <n v="11"/>
    <n v="2019"/>
    <n v="2019"/>
    <n v="15"/>
    <x v="0"/>
    <s v="15B"/>
    <x v="11"/>
    <n v="1"/>
    <n v="7"/>
    <x v="0"/>
    <x v="0"/>
  </r>
  <r>
    <n v="12141"/>
    <n v="116809580"/>
    <s v="Recovery"/>
    <n v="200"/>
    <s v="AHY"/>
    <s v="F"/>
    <n v="12"/>
    <n v="2017"/>
    <n v="2017"/>
    <n v="13"/>
    <x v="0"/>
    <s v="13B"/>
    <x v="13"/>
    <n v="1"/>
    <n v="7"/>
    <x v="0"/>
    <x v="0"/>
  </r>
  <r>
    <n v="12144"/>
    <n v="116809583"/>
    <s v="Recovery"/>
    <n v="200"/>
    <s v="AHY"/>
    <s v="F"/>
    <n v="1"/>
    <n v="2021"/>
    <n v="2020"/>
    <n v="16"/>
    <x v="0"/>
    <s v="16B"/>
    <x v="15"/>
    <n v="1"/>
    <n v="7"/>
    <x v="0"/>
    <x v="0"/>
  </r>
  <r>
    <n v="12145"/>
    <n v="116809584"/>
    <s v="Recovery"/>
    <n v="200"/>
    <s v="AHY"/>
    <s v="F"/>
    <n v="1"/>
    <n v="2016"/>
    <n v="2015"/>
    <n v="11"/>
    <x v="0"/>
    <s v="11B"/>
    <x v="14"/>
    <n v="1"/>
    <n v="7"/>
    <x v="0"/>
    <x v="0"/>
  </r>
  <r>
    <n v="12159"/>
    <n v="116809598"/>
    <s v="Recovery"/>
    <n v="200"/>
    <s v="AHY"/>
    <s v="F"/>
    <n v="1"/>
    <n v="2015"/>
    <n v="2014"/>
    <n v="10"/>
    <x v="0"/>
    <s v="10B"/>
    <x v="7"/>
    <n v="1"/>
    <n v="7"/>
    <x v="0"/>
    <x v="0"/>
  </r>
  <r>
    <n v="12164"/>
    <n v="116809603"/>
    <s v="Recovery"/>
    <n v="200"/>
    <s v="AHY"/>
    <s v="M"/>
    <n v="9"/>
    <n v="2015"/>
    <n v="2015"/>
    <n v="11"/>
    <x v="0"/>
    <s v="11B"/>
    <x v="14"/>
    <n v="1"/>
    <n v="7"/>
    <x v="0"/>
    <x v="0"/>
  </r>
  <r>
    <n v="12166"/>
    <n v="116809605"/>
    <s v="Recovery"/>
    <n v="200"/>
    <s v="AHY"/>
    <s v="M"/>
    <n v="1"/>
    <n v="2015"/>
    <n v="2014"/>
    <n v="10"/>
    <x v="0"/>
    <s v="10B"/>
    <x v="7"/>
    <n v="1"/>
    <n v="7"/>
    <x v="0"/>
    <x v="0"/>
  </r>
  <r>
    <n v="12167"/>
    <n v="116809606"/>
    <s v="Recovery"/>
    <n v="200"/>
    <s v="AHY"/>
    <s v="M"/>
    <n v="1"/>
    <n v="2016"/>
    <n v="2015"/>
    <n v="11"/>
    <x v="0"/>
    <s v="11B"/>
    <x v="14"/>
    <n v="1"/>
    <n v="7"/>
    <x v="0"/>
    <x v="0"/>
  </r>
  <r>
    <n v="12170"/>
    <n v="116809609"/>
    <s v="Recovery"/>
    <n v="200"/>
    <s v="AHY"/>
    <s v="M"/>
    <n v="9"/>
    <n v="2017"/>
    <n v="2017"/>
    <n v="13"/>
    <x v="0"/>
    <s v="13B"/>
    <x v="13"/>
    <n v="1"/>
    <n v="7"/>
    <x v="0"/>
    <x v="0"/>
  </r>
  <r>
    <n v="12171"/>
    <n v="116809610"/>
    <s v="Recovery"/>
    <n v="200"/>
    <s v="AHY"/>
    <s v="F"/>
    <n v="1"/>
    <n v="2015"/>
    <n v="2014"/>
    <n v="10"/>
    <x v="0"/>
    <s v="10B"/>
    <x v="7"/>
    <n v="1"/>
    <n v="7"/>
    <x v="0"/>
    <x v="0"/>
  </r>
  <r>
    <n v="12175"/>
    <n v="116809614"/>
    <s v="Recovery"/>
    <n v="200"/>
    <s v="AHY"/>
    <s v="M"/>
    <n v="9"/>
    <n v="2014"/>
    <n v="2014"/>
    <n v="10"/>
    <x v="0"/>
    <s v="10B"/>
    <x v="7"/>
    <n v="1"/>
    <n v="7"/>
    <x v="0"/>
    <x v="0"/>
  </r>
  <r>
    <n v="12176"/>
    <n v="116809615"/>
    <s v="Recovery"/>
    <n v="200"/>
    <s v="AHY"/>
    <s v="F"/>
    <n v="12"/>
    <n v="2014"/>
    <n v="2014"/>
    <n v="10"/>
    <x v="0"/>
    <s v="10B"/>
    <x v="7"/>
    <n v="1"/>
    <n v="7"/>
    <x v="0"/>
    <x v="0"/>
  </r>
  <r>
    <n v="12177"/>
    <n v="116809616"/>
    <s v="Recovery"/>
    <n v="200"/>
    <s v="AHY"/>
    <s v="M"/>
    <n v="9"/>
    <n v="2017"/>
    <n v="2017"/>
    <n v="13"/>
    <x v="0"/>
    <s v="13B"/>
    <x v="13"/>
    <n v="1"/>
    <n v="7"/>
    <x v="0"/>
    <x v="0"/>
  </r>
  <r>
    <n v="12178"/>
    <n v="116809617"/>
    <s v="Recovery"/>
    <n v="200"/>
    <s v="AHY"/>
    <s v="M"/>
    <n v="12"/>
    <n v="2015"/>
    <n v="2015"/>
    <n v="11"/>
    <x v="0"/>
    <s v="11B"/>
    <x v="14"/>
    <n v="1"/>
    <n v="7"/>
    <x v="0"/>
    <x v="0"/>
  </r>
  <r>
    <n v="12180"/>
    <n v="116809619"/>
    <s v="Recovery"/>
    <n v="200"/>
    <s v="AHY"/>
    <s v="F"/>
    <n v="1"/>
    <n v="2016"/>
    <n v="2015"/>
    <n v="11"/>
    <x v="0"/>
    <s v="11B"/>
    <x v="14"/>
    <n v="1"/>
    <n v="7"/>
    <x v="0"/>
    <x v="0"/>
  </r>
  <r>
    <n v="12181"/>
    <n v="116809620"/>
    <s v="Recovery"/>
    <n v="200"/>
    <s v="AHY"/>
    <s v="F"/>
    <n v="11"/>
    <n v="2014"/>
    <n v="2014"/>
    <n v="10"/>
    <x v="0"/>
    <s v="10B"/>
    <x v="7"/>
    <n v="1"/>
    <n v="7"/>
    <x v="0"/>
    <x v="0"/>
  </r>
  <r>
    <n v="12187"/>
    <n v="116809626"/>
    <s v="Recovery"/>
    <n v="200"/>
    <s v="AHY"/>
    <s v="M"/>
    <n v="1"/>
    <n v="2015"/>
    <n v="2014"/>
    <n v="10"/>
    <x v="0"/>
    <s v="10B"/>
    <x v="7"/>
    <n v="1"/>
    <n v="7"/>
    <x v="0"/>
    <x v="0"/>
  </r>
  <r>
    <n v="12188"/>
    <n v="116809627"/>
    <s v="Recovery"/>
    <n v="200"/>
    <s v="AHY"/>
    <s v="F"/>
    <n v="9"/>
    <n v="2014"/>
    <n v="2014"/>
    <n v="10"/>
    <x v="0"/>
    <s v="10B"/>
    <x v="7"/>
    <n v="1"/>
    <n v="7"/>
    <x v="0"/>
    <x v="0"/>
  </r>
  <r>
    <n v="12190"/>
    <n v="116809629"/>
    <s v="Recovery"/>
    <n v="200"/>
    <s v="AHY"/>
    <s v="M"/>
    <n v="9"/>
    <n v="2016"/>
    <n v="2016"/>
    <n v="12"/>
    <x v="0"/>
    <s v="12B"/>
    <x v="12"/>
    <n v="1"/>
    <n v="7"/>
    <x v="0"/>
    <x v="0"/>
  </r>
  <r>
    <n v="12197"/>
    <n v="116809636"/>
    <s v="Recovery"/>
    <n v="200"/>
    <s v="AHY"/>
    <s v="M"/>
    <n v="9"/>
    <n v="2014"/>
    <n v="2014"/>
    <n v="10"/>
    <x v="0"/>
    <s v="10B"/>
    <x v="7"/>
    <n v="1"/>
    <n v="7"/>
    <x v="0"/>
    <x v="0"/>
  </r>
  <r>
    <n v="12201"/>
    <n v="116809640"/>
    <s v="Recovery"/>
    <n v="200"/>
    <s v="AHY"/>
    <s v="F"/>
    <n v="9"/>
    <n v="2014"/>
    <n v="2014"/>
    <n v="10"/>
    <x v="0"/>
    <s v="10B"/>
    <x v="7"/>
    <n v="1"/>
    <n v="7"/>
    <x v="0"/>
    <x v="0"/>
  </r>
  <r>
    <n v="12204"/>
    <n v="116809643"/>
    <s v="Recovery"/>
    <n v="200"/>
    <s v="AHY"/>
    <s v="F"/>
    <n v="9"/>
    <n v="2015"/>
    <n v="2015"/>
    <n v="11"/>
    <x v="0"/>
    <s v="11B"/>
    <x v="14"/>
    <n v="1"/>
    <n v="7"/>
    <x v="0"/>
    <x v="0"/>
  </r>
  <r>
    <n v="12205"/>
    <n v="116809644"/>
    <s v="Recovery"/>
    <n v="200"/>
    <s v="AHY"/>
    <s v="F"/>
    <n v="9"/>
    <n v="2014"/>
    <n v="2014"/>
    <n v="10"/>
    <x v="0"/>
    <s v="10B"/>
    <x v="7"/>
    <n v="1"/>
    <n v="7"/>
    <x v="0"/>
    <x v="0"/>
  </r>
  <r>
    <n v="12210"/>
    <n v="116809649"/>
    <s v="Recovery"/>
    <n v="200"/>
    <s v="AHY"/>
    <s v="M"/>
    <n v="11"/>
    <n v="2019"/>
    <n v="2019"/>
    <n v="15"/>
    <x v="0"/>
    <s v="15B"/>
    <x v="11"/>
    <n v="1"/>
    <n v="7"/>
    <x v="0"/>
    <x v="0"/>
  </r>
  <r>
    <n v="12212"/>
    <n v="116809651"/>
    <s v="Recovery"/>
    <n v="200"/>
    <s v="AHY"/>
    <s v="M"/>
    <n v="9"/>
    <n v="2016"/>
    <n v="2016"/>
    <n v="12"/>
    <x v="0"/>
    <s v="12B"/>
    <x v="12"/>
    <n v="1"/>
    <n v="7"/>
    <x v="0"/>
    <x v="0"/>
  </r>
  <r>
    <n v="12213"/>
    <n v="116809652"/>
    <s v="Recovery"/>
    <n v="200"/>
    <s v="AHY"/>
    <s v="F"/>
    <n v="9"/>
    <n v="2020"/>
    <n v="2020"/>
    <n v="16"/>
    <x v="0"/>
    <s v="16B"/>
    <x v="15"/>
    <n v="1"/>
    <n v="7"/>
    <x v="0"/>
    <x v="0"/>
  </r>
  <r>
    <n v="12214"/>
    <n v="116809653"/>
    <s v="Recovery"/>
    <n v="200"/>
    <s v="AHY"/>
    <s v="M"/>
    <n v="11"/>
    <n v="2015"/>
    <n v="2015"/>
    <n v="11"/>
    <x v="0"/>
    <s v="11B"/>
    <x v="14"/>
    <n v="1"/>
    <n v="7"/>
    <x v="0"/>
    <x v="0"/>
  </r>
  <r>
    <n v="12219"/>
    <n v="116809658"/>
    <s v="Recovery"/>
    <n v="200"/>
    <s v="AHY"/>
    <s v="F"/>
    <n v="9"/>
    <n v="2014"/>
    <n v="2014"/>
    <n v="10"/>
    <x v="0"/>
    <s v="10B"/>
    <x v="7"/>
    <n v="1"/>
    <n v="7"/>
    <x v="0"/>
    <x v="0"/>
  </r>
  <r>
    <n v="12223"/>
    <n v="116809662"/>
    <s v="Recovery"/>
    <n v="200"/>
    <s v="AHY"/>
    <s v="M"/>
    <n v="1"/>
    <n v="2016"/>
    <n v="2015"/>
    <n v="11"/>
    <x v="0"/>
    <s v="11B"/>
    <x v="14"/>
    <n v="1"/>
    <n v="7"/>
    <x v="0"/>
    <x v="0"/>
  </r>
  <r>
    <n v="12224"/>
    <n v="116809663"/>
    <s v="Recovery"/>
    <n v="200"/>
    <s v="AHY"/>
    <s v="M"/>
    <n v="9"/>
    <n v="2015"/>
    <n v="2015"/>
    <n v="11"/>
    <x v="0"/>
    <s v="11B"/>
    <x v="14"/>
    <n v="1"/>
    <n v="7"/>
    <x v="0"/>
    <x v="0"/>
  </r>
  <r>
    <n v="12229"/>
    <n v="116809668"/>
    <s v="Recovery"/>
    <n v="200"/>
    <s v="AHY"/>
    <s v="M"/>
    <n v="9"/>
    <n v="2014"/>
    <n v="2014"/>
    <n v="10"/>
    <x v="0"/>
    <s v="10B"/>
    <x v="7"/>
    <n v="1"/>
    <n v="7"/>
    <x v="0"/>
    <x v="0"/>
  </r>
  <r>
    <n v="12231"/>
    <n v="116809670"/>
    <s v="Recovery"/>
    <n v="200"/>
    <s v="AHY"/>
    <s v="M"/>
    <n v="9"/>
    <n v="2017"/>
    <n v="2017"/>
    <n v="13"/>
    <x v="0"/>
    <s v="13B"/>
    <x v="13"/>
    <n v="1"/>
    <n v="7"/>
    <x v="0"/>
    <x v="0"/>
  </r>
  <r>
    <n v="12232"/>
    <n v="116809671"/>
    <s v="Recovery"/>
    <n v="200"/>
    <s v="AHY"/>
    <s v="M"/>
    <n v="1"/>
    <n v="2015"/>
    <n v="2014"/>
    <n v="10"/>
    <x v="0"/>
    <s v="10B"/>
    <x v="7"/>
    <n v="1"/>
    <n v="7"/>
    <x v="0"/>
    <x v="0"/>
  </r>
  <r>
    <n v="12236"/>
    <n v="116809675"/>
    <s v="Recovery"/>
    <n v="200"/>
    <s v="AHY"/>
    <s v="F"/>
    <n v="1"/>
    <n v="2015"/>
    <n v="2014"/>
    <n v="10"/>
    <x v="0"/>
    <s v="10B"/>
    <x v="7"/>
    <n v="1"/>
    <n v="7"/>
    <x v="0"/>
    <x v="0"/>
  </r>
  <r>
    <n v="12240"/>
    <n v="116809679"/>
    <s v="Recovery"/>
    <n v="200"/>
    <s v="HY"/>
    <s v="M"/>
    <n v="9"/>
    <n v="2014"/>
    <n v="2014"/>
    <n v="10"/>
    <x v="0"/>
    <s v="10B"/>
    <x v="7"/>
    <n v="1"/>
    <n v="7"/>
    <x v="0"/>
    <x v="0"/>
  </r>
  <r>
    <n v="12242"/>
    <n v="116809681"/>
    <s v="Recovery"/>
    <n v="200"/>
    <s v="AHY"/>
    <s v="F"/>
    <n v="9"/>
    <n v="2014"/>
    <n v="2014"/>
    <n v="10"/>
    <x v="0"/>
    <s v="10B"/>
    <x v="7"/>
    <n v="1"/>
    <n v="7"/>
    <x v="0"/>
    <x v="0"/>
  </r>
  <r>
    <n v="12247"/>
    <n v="116809686"/>
    <s v="Recovery"/>
    <n v="200"/>
    <s v="AHY"/>
    <s v="F"/>
    <n v="9"/>
    <n v="2016"/>
    <n v="2016"/>
    <n v="12"/>
    <x v="0"/>
    <s v="12B"/>
    <x v="12"/>
    <n v="1"/>
    <n v="7"/>
    <x v="0"/>
    <x v="0"/>
  </r>
  <r>
    <n v="12249"/>
    <n v="116809688"/>
    <s v="Recovery"/>
    <n v="200"/>
    <s v="AHY"/>
    <s v="F"/>
    <n v="9"/>
    <n v="2016"/>
    <n v="2016"/>
    <n v="12"/>
    <x v="0"/>
    <s v="12B"/>
    <x v="12"/>
    <n v="1"/>
    <n v="7"/>
    <x v="0"/>
    <x v="0"/>
  </r>
  <r>
    <n v="12257"/>
    <n v="116809696"/>
    <s v="Recovery"/>
    <n v="200"/>
    <s v="AHY"/>
    <s v="M"/>
    <n v="1"/>
    <n v="2018"/>
    <n v="2017"/>
    <n v="13"/>
    <x v="0"/>
    <s v="13B"/>
    <x v="13"/>
    <n v="1"/>
    <n v="7"/>
    <x v="0"/>
    <x v="0"/>
  </r>
  <r>
    <n v="12259"/>
    <n v="116809698"/>
    <s v="Recovery"/>
    <n v="200"/>
    <s v="AHY"/>
    <s v="F"/>
    <n v="11"/>
    <n v="2020"/>
    <n v="2020"/>
    <n v="16"/>
    <x v="0"/>
    <s v="16B"/>
    <x v="15"/>
    <n v="1"/>
    <n v="7"/>
    <x v="0"/>
    <x v="0"/>
  </r>
  <r>
    <n v="12261"/>
    <n v="116809700"/>
    <s v="Recovery"/>
    <n v="200"/>
    <s v="AHY"/>
    <s v="F"/>
    <n v="9"/>
    <n v="2014"/>
    <n v="2014"/>
    <n v="10"/>
    <x v="0"/>
    <s v="10B"/>
    <x v="7"/>
    <n v="1"/>
    <n v="7"/>
    <x v="0"/>
    <x v="0"/>
  </r>
  <r>
    <n v="12265"/>
    <n v="116809704"/>
    <s v="Recovery"/>
    <n v="200"/>
    <s v="AHY"/>
    <s v="M"/>
    <n v="1"/>
    <n v="2020"/>
    <n v="2019"/>
    <n v="15"/>
    <x v="0"/>
    <s v="15B"/>
    <x v="11"/>
    <n v="1"/>
    <n v="7"/>
    <x v="0"/>
    <x v="0"/>
  </r>
  <r>
    <n v="12266"/>
    <n v="116809705"/>
    <s v="Recovery"/>
    <n v="200"/>
    <s v="AHY"/>
    <s v="M"/>
    <n v="1"/>
    <n v="2015"/>
    <n v="2014"/>
    <n v="10"/>
    <x v="0"/>
    <s v="10B"/>
    <x v="7"/>
    <n v="1"/>
    <n v="7"/>
    <x v="0"/>
    <x v="0"/>
  </r>
  <r>
    <n v="12268"/>
    <n v="116809707"/>
    <s v="Recovery"/>
    <n v="200"/>
    <s v="AHY"/>
    <s v="F"/>
    <n v="1"/>
    <n v="2015"/>
    <n v="2014"/>
    <n v="10"/>
    <x v="0"/>
    <s v="10B"/>
    <x v="7"/>
    <n v="1"/>
    <n v="7"/>
    <x v="0"/>
    <x v="0"/>
  </r>
  <r>
    <n v="12270"/>
    <n v="116809709"/>
    <s v="Recovery"/>
    <n v="200"/>
    <s v="AHY"/>
    <s v="F"/>
    <n v="1"/>
    <n v="2016"/>
    <n v="2015"/>
    <n v="11"/>
    <x v="0"/>
    <s v="11B"/>
    <x v="14"/>
    <n v="1"/>
    <n v="7"/>
    <x v="0"/>
    <x v="0"/>
  </r>
  <r>
    <n v="12271"/>
    <n v="116809710"/>
    <s v="Recovery"/>
    <n v="200"/>
    <s v="AHY"/>
    <s v="F"/>
    <n v="1"/>
    <n v="2015"/>
    <n v="2014"/>
    <n v="10"/>
    <x v="0"/>
    <s v="10B"/>
    <x v="7"/>
    <n v="1"/>
    <n v="7"/>
    <x v="0"/>
    <x v="0"/>
  </r>
  <r>
    <n v="12273"/>
    <n v="116809712"/>
    <s v="Recovery"/>
    <n v="200"/>
    <s v="AHY"/>
    <s v="M"/>
    <n v="12"/>
    <n v="2014"/>
    <n v="2014"/>
    <n v="10"/>
    <x v="0"/>
    <s v="10B"/>
    <x v="7"/>
    <n v="1"/>
    <n v="7"/>
    <x v="0"/>
    <x v="0"/>
  </r>
  <r>
    <n v="12274"/>
    <n v="116809713"/>
    <s v="Recovery"/>
    <n v="200"/>
    <s v="AHY"/>
    <s v="M"/>
    <n v="1"/>
    <n v="2018"/>
    <n v="2017"/>
    <n v="13"/>
    <x v="0"/>
    <s v="13B"/>
    <x v="13"/>
    <n v="1"/>
    <n v="7"/>
    <x v="0"/>
    <x v="0"/>
  </r>
  <r>
    <n v="12279"/>
    <n v="116809718"/>
    <s v="Recovery"/>
    <n v="200"/>
    <s v="HY"/>
    <s v="M"/>
    <n v="9"/>
    <n v="2014"/>
    <n v="2014"/>
    <n v="10"/>
    <x v="0"/>
    <s v="10B"/>
    <x v="7"/>
    <n v="1"/>
    <n v="7"/>
    <x v="0"/>
    <x v="0"/>
  </r>
  <r>
    <n v="12281"/>
    <n v="116809720"/>
    <s v="Recovery"/>
    <n v="200"/>
    <s v="AHY"/>
    <s v="M"/>
    <n v="9"/>
    <n v="2014"/>
    <n v="2014"/>
    <n v="10"/>
    <x v="0"/>
    <s v="10B"/>
    <x v="7"/>
    <n v="1"/>
    <n v="7"/>
    <x v="0"/>
    <x v="0"/>
  </r>
  <r>
    <n v="12282"/>
    <n v="116809721"/>
    <s v="Recovery"/>
    <n v="200"/>
    <s v="AHY"/>
    <s v="M"/>
    <n v="9"/>
    <n v="2018"/>
    <n v="2018"/>
    <n v="14"/>
    <x v="0"/>
    <s v="14B"/>
    <x v="10"/>
    <n v="1"/>
    <n v="7"/>
    <x v="0"/>
    <x v="0"/>
  </r>
  <r>
    <n v="12285"/>
    <n v="116809724"/>
    <s v="Recovery"/>
    <n v="200"/>
    <s v="AHY"/>
    <s v="F"/>
    <n v="1"/>
    <n v="2021"/>
    <n v="2020"/>
    <n v="16"/>
    <x v="0"/>
    <s v="16B"/>
    <x v="15"/>
    <n v="1"/>
    <n v="7"/>
    <x v="0"/>
    <x v="0"/>
  </r>
  <r>
    <n v="12289"/>
    <n v="116809728"/>
    <s v="Recovery"/>
    <n v="200"/>
    <s v="HY"/>
    <s v="F"/>
    <n v="9"/>
    <n v="2014"/>
    <n v="2014"/>
    <n v="10"/>
    <x v="0"/>
    <s v="10B"/>
    <x v="7"/>
    <n v="1"/>
    <n v="7"/>
    <x v="0"/>
    <x v="0"/>
  </r>
  <r>
    <n v="12293"/>
    <n v="116809732"/>
    <s v="Recovery"/>
    <n v="200"/>
    <s v="AHY"/>
    <s v="F"/>
    <n v="1"/>
    <n v="2016"/>
    <n v="2015"/>
    <n v="11"/>
    <x v="0"/>
    <s v="11B"/>
    <x v="14"/>
    <n v="1"/>
    <n v="7"/>
    <x v="0"/>
    <x v="0"/>
  </r>
  <r>
    <n v="12294"/>
    <n v="116809733"/>
    <s v="Recovery"/>
    <n v="200"/>
    <s v="AHY"/>
    <s v="M"/>
    <n v="9"/>
    <n v="2016"/>
    <n v="2016"/>
    <n v="12"/>
    <x v="0"/>
    <s v="12B"/>
    <x v="12"/>
    <n v="1"/>
    <n v="7"/>
    <x v="0"/>
    <x v="0"/>
  </r>
  <r>
    <n v="12295"/>
    <n v="116809734"/>
    <s v="Recovery"/>
    <n v="200"/>
    <s v="AHY"/>
    <s v="M"/>
    <n v="1"/>
    <n v="2016"/>
    <n v="2015"/>
    <n v="11"/>
    <x v="0"/>
    <s v="11B"/>
    <x v="14"/>
    <n v="1"/>
    <n v="7"/>
    <x v="0"/>
    <x v="0"/>
  </r>
  <r>
    <n v="12296"/>
    <n v="116809735"/>
    <s v="Recovery"/>
    <n v="200"/>
    <s v="AHY"/>
    <s v="F"/>
    <n v="1"/>
    <n v="2016"/>
    <n v="2015"/>
    <n v="11"/>
    <x v="0"/>
    <s v="11B"/>
    <x v="14"/>
    <n v="1"/>
    <n v="7"/>
    <x v="0"/>
    <x v="0"/>
  </r>
  <r>
    <n v="12297"/>
    <n v="116809736"/>
    <s v="Recovery"/>
    <n v="200"/>
    <s v="AHY"/>
    <s v="F"/>
    <n v="9"/>
    <n v="2015"/>
    <n v="2015"/>
    <n v="11"/>
    <x v="0"/>
    <s v="11B"/>
    <x v="14"/>
    <n v="1"/>
    <n v="7"/>
    <x v="0"/>
    <x v="0"/>
  </r>
  <r>
    <n v="12299"/>
    <n v="116809738"/>
    <s v="Recovery"/>
    <n v="200"/>
    <s v="AHY"/>
    <s v="F"/>
    <n v="9"/>
    <n v="2015"/>
    <n v="2015"/>
    <n v="11"/>
    <x v="0"/>
    <s v="11B"/>
    <x v="14"/>
    <n v="1"/>
    <n v="7"/>
    <x v="0"/>
    <x v="0"/>
  </r>
  <r>
    <n v="12301"/>
    <n v="116809740"/>
    <s v="Recovery"/>
    <n v="200"/>
    <s v="AHY"/>
    <s v="M"/>
    <n v="1"/>
    <n v="2015"/>
    <n v="2014"/>
    <n v="10"/>
    <x v="0"/>
    <s v="10B"/>
    <x v="7"/>
    <n v="1"/>
    <n v="7"/>
    <x v="0"/>
    <x v="0"/>
  </r>
  <r>
    <n v="12312"/>
    <n v="116809751"/>
    <s v="Recovery"/>
    <n v="200"/>
    <s v="AHY"/>
    <s v="M"/>
    <n v="1"/>
    <n v="2019"/>
    <n v="2018"/>
    <n v="14"/>
    <x v="0"/>
    <s v="14B"/>
    <x v="10"/>
    <n v="1"/>
    <n v="7"/>
    <x v="0"/>
    <x v="0"/>
  </r>
  <r>
    <n v="12313"/>
    <n v="116809752"/>
    <s v="Recovery"/>
    <n v="200"/>
    <s v="AHY"/>
    <s v="F"/>
    <n v="9"/>
    <n v="2017"/>
    <n v="2017"/>
    <n v="13"/>
    <x v="0"/>
    <s v="13B"/>
    <x v="13"/>
    <n v="1"/>
    <n v="7"/>
    <x v="0"/>
    <x v="0"/>
  </r>
  <r>
    <n v="12317"/>
    <n v="116809756"/>
    <s v="Recovery"/>
    <n v="200"/>
    <s v="AHY"/>
    <s v="F"/>
    <n v="1"/>
    <n v="2015"/>
    <n v="2014"/>
    <n v="10"/>
    <x v="0"/>
    <s v="10B"/>
    <x v="7"/>
    <n v="1"/>
    <n v="7"/>
    <x v="0"/>
    <x v="0"/>
  </r>
  <r>
    <n v="12320"/>
    <n v="116809759"/>
    <s v="Recovery"/>
    <n v="200"/>
    <s v="AHY"/>
    <s v="M"/>
    <n v="1"/>
    <n v="2015"/>
    <n v="2014"/>
    <n v="10"/>
    <x v="0"/>
    <s v="10B"/>
    <x v="7"/>
    <n v="1"/>
    <n v="7"/>
    <x v="0"/>
    <x v="0"/>
  </r>
  <r>
    <n v="12325"/>
    <n v="116809764"/>
    <s v="Recovery"/>
    <n v="200"/>
    <s v="AHY"/>
    <s v="M"/>
    <n v="1"/>
    <n v="2015"/>
    <n v="2014"/>
    <n v="10"/>
    <x v="0"/>
    <s v="10B"/>
    <x v="7"/>
    <n v="1"/>
    <n v="7"/>
    <x v="0"/>
    <x v="0"/>
  </r>
  <r>
    <n v="12328"/>
    <n v="116809767"/>
    <s v="Recovery"/>
    <n v="200"/>
    <s v="AHY"/>
    <s v="F"/>
    <n v="12"/>
    <n v="2015"/>
    <n v="2015"/>
    <n v="11"/>
    <x v="0"/>
    <s v="11B"/>
    <x v="14"/>
    <n v="1"/>
    <n v="7"/>
    <x v="0"/>
    <x v="0"/>
  </r>
  <r>
    <n v="12330"/>
    <n v="116809769"/>
    <s v="Recovery"/>
    <n v="200"/>
    <s v="AHY"/>
    <s v="M"/>
    <n v="11"/>
    <n v="2020"/>
    <n v="2020"/>
    <n v="16"/>
    <x v="0"/>
    <s v="16B"/>
    <x v="15"/>
    <n v="1"/>
    <n v="7"/>
    <x v="0"/>
    <x v="0"/>
  </r>
  <r>
    <n v="12333"/>
    <n v="116809772"/>
    <s v="Recovery"/>
    <n v="200"/>
    <s v="AHY"/>
    <s v="F"/>
    <n v="1"/>
    <n v="2016"/>
    <n v="2015"/>
    <n v="11"/>
    <x v="0"/>
    <s v="11B"/>
    <x v="14"/>
    <n v="1"/>
    <n v="7"/>
    <x v="0"/>
    <x v="0"/>
  </r>
  <r>
    <n v="12336"/>
    <n v="116809775"/>
    <s v="Recovery"/>
    <n v="200"/>
    <s v="AHY"/>
    <s v="M"/>
    <n v="1"/>
    <n v="2019"/>
    <n v="2018"/>
    <n v="14"/>
    <x v="0"/>
    <s v="14B"/>
    <x v="10"/>
    <n v="1"/>
    <n v="7"/>
    <x v="0"/>
    <x v="0"/>
  </r>
  <r>
    <n v="12338"/>
    <n v="116809777"/>
    <s v="Recovery"/>
    <n v="200"/>
    <s v="AHY"/>
    <s v="M"/>
    <n v="11"/>
    <n v="2015"/>
    <n v="2015"/>
    <n v="11"/>
    <x v="0"/>
    <s v="11B"/>
    <x v="14"/>
    <n v="1"/>
    <n v="7"/>
    <x v="0"/>
    <x v="0"/>
  </r>
  <r>
    <n v="12342"/>
    <n v="116809781"/>
    <s v="Recovery"/>
    <n v="200"/>
    <s v="AHY"/>
    <s v="F"/>
    <n v="1"/>
    <n v="2015"/>
    <n v="2014"/>
    <n v="10"/>
    <x v="0"/>
    <s v="10B"/>
    <x v="7"/>
    <n v="1"/>
    <n v="7"/>
    <x v="0"/>
    <x v="0"/>
  </r>
  <r>
    <n v="12347"/>
    <n v="116809786"/>
    <s v="Recovery"/>
    <n v="200"/>
    <s v="AHY"/>
    <s v="F"/>
    <n v="9"/>
    <n v="2020"/>
    <n v="2020"/>
    <n v="16"/>
    <x v="0"/>
    <s v="16B"/>
    <x v="15"/>
    <n v="1"/>
    <n v="7"/>
    <x v="0"/>
    <x v="0"/>
  </r>
  <r>
    <n v="12348"/>
    <n v="116809787"/>
    <s v="Recovery"/>
    <n v="200"/>
    <s v="AHY"/>
    <s v="M"/>
    <n v="1"/>
    <n v="2016"/>
    <n v="2015"/>
    <n v="11"/>
    <x v="0"/>
    <s v="11B"/>
    <x v="14"/>
    <n v="1"/>
    <n v="7"/>
    <x v="0"/>
    <x v="0"/>
  </r>
  <r>
    <n v="12358"/>
    <n v="116809797"/>
    <s v="Recovery"/>
    <n v="200"/>
    <s v="AHY"/>
    <s v="M"/>
    <n v="12"/>
    <n v="2020"/>
    <n v="2020"/>
    <n v="16"/>
    <x v="0"/>
    <s v="16B"/>
    <x v="15"/>
    <n v="1"/>
    <n v="7"/>
    <x v="0"/>
    <x v="0"/>
  </r>
  <r>
    <n v="12359"/>
    <n v="116809798"/>
    <s v="Recovery"/>
    <n v="200"/>
    <s v="AHY"/>
    <s v="F"/>
    <n v="1"/>
    <n v="2020"/>
    <n v="2019"/>
    <n v="15"/>
    <x v="0"/>
    <s v="15B"/>
    <x v="11"/>
    <n v="1"/>
    <n v="7"/>
    <x v="0"/>
    <x v="0"/>
  </r>
  <r>
    <n v="12365"/>
    <n v="116809804"/>
    <s v="Recovery"/>
    <n v="200"/>
    <s v="AHY"/>
    <s v="F"/>
    <n v="9"/>
    <n v="2016"/>
    <n v="2016"/>
    <n v="12"/>
    <x v="0"/>
    <s v="12B"/>
    <x v="12"/>
    <n v="1"/>
    <n v="7"/>
    <x v="0"/>
    <x v="0"/>
  </r>
  <r>
    <n v="12368"/>
    <n v="116809807"/>
    <s v="Recovery"/>
    <n v="200"/>
    <s v="AHY"/>
    <s v="F"/>
    <n v="9"/>
    <n v="2015"/>
    <n v="2015"/>
    <n v="11"/>
    <x v="0"/>
    <s v="11B"/>
    <x v="14"/>
    <n v="1"/>
    <n v="7"/>
    <x v="0"/>
    <x v="0"/>
  </r>
  <r>
    <n v="12372"/>
    <n v="116809811"/>
    <s v="Recovery"/>
    <n v="200"/>
    <s v="AHY"/>
    <s v="M"/>
    <n v="9"/>
    <n v="2014"/>
    <n v="2014"/>
    <n v="10"/>
    <x v="0"/>
    <s v="10B"/>
    <x v="7"/>
    <n v="1"/>
    <n v="7"/>
    <x v="0"/>
    <x v="0"/>
  </r>
  <r>
    <n v="12373"/>
    <n v="116809812"/>
    <s v="Recovery"/>
    <n v="200"/>
    <s v="AHY"/>
    <s v="F"/>
    <n v="1"/>
    <n v="2015"/>
    <n v="2014"/>
    <n v="10"/>
    <x v="0"/>
    <s v="10B"/>
    <x v="7"/>
    <n v="1"/>
    <n v="7"/>
    <x v="0"/>
    <x v="0"/>
  </r>
  <r>
    <n v="12380"/>
    <n v="116809819"/>
    <s v="Recovery"/>
    <n v="200"/>
    <s v="AHY"/>
    <s v="M"/>
    <n v="1"/>
    <n v="2015"/>
    <n v="2014"/>
    <n v="10"/>
    <x v="0"/>
    <s v="10B"/>
    <x v="7"/>
    <n v="1"/>
    <n v="7"/>
    <x v="0"/>
    <x v="0"/>
  </r>
  <r>
    <n v="12383"/>
    <n v="116809822"/>
    <s v="Recovery"/>
    <n v="200"/>
    <s v="AHY"/>
    <s v="M"/>
    <n v="12"/>
    <n v="2016"/>
    <n v="2016"/>
    <n v="12"/>
    <x v="0"/>
    <s v="12B"/>
    <x v="12"/>
    <n v="1"/>
    <n v="7"/>
    <x v="0"/>
    <x v="0"/>
  </r>
  <r>
    <n v="12384"/>
    <n v="116809823"/>
    <s v="Recovery"/>
    <n v="200"/>
    <s v="AHY"/>
    <s v="F"/>
    <n v="9"/>
    <n v="2014"/>
    <n v="2014"/>
    <n v="10"/>
    <x v="0"/>
    <s v="10B"/>
    <x v="7"/>
    <n v="1"/>
    <n v="7"/>
    <x v="0"/>
    <x v="0"/>
  </r>
  <r>
    <n v="12388"/>
    <n v="116809827"/>
    <s v="Recovery"/>
    <n v="200"/>
    <s v="AHY"/>
    <s v="F"/>
    <n v="1"/>
    <n v="2015"/>
    <n v="2014"/>
    <n v="10"/>
    <x v="0"/>
    <s v="10B"/>
    <x v="7"/>
    <n v="1"/>
    <n v="7"/>
    <x v="0"/>
    <x v="0"/>
  </r>
  <r>
    <n v="12394"/>
    <n v="116809833"/>
    <s v="Recovery"/>
    <n v="200"/>
    <s v="AHY"/>
    <s v="F"/>
    <n v="1"/>
    <n v="2015"/>
    <n v="2014"/>
    <n v="10"/>
    <x v="0"/>
    <s v="10B"/>
    <x v="7"/>
    <n v="1"/>
    <n v="7"/>
    <x v="0"/>
    <x v="0"/>
  </r>
  <r>
    <n v="12395"/>
    <n v="116809834"/>
    <s v="Recovery"/>
    <n v="200"/>
    <s v="AHY"/>
    <s v="M"/>
    <n v="1"/>
    <n v="2021"/>
    <n v="2020"/>
    <n v="16"/>
    <x v="0"/>
    <s v="16B"/>
    <x v="15"/>
    <n v="1"/>
    <n v="7"/>
    <x v="0"/>
    <x v="0"/>
  </r>
  <r>
    <n v="12397"/>
    <n v="116809836"/>
    <s v="Recovery"/>
    <n v="200"/>
    <s v="AHY"/>
    <s v="F"/>
    <n v="9"/>
    <n v="2015"/>
    <n v="2015"/>
    <n v="11"/>
    <x v="0"/>
    <s v="11B"/>
    <x v="14"/>
    <n v="1"/>
    <n v="7"/>
    <x v="0"/>
    <x v="0"/>
  </r>
  <r>
    <n v="12400"/>
    <n v="116809839"/>
    <s v="Recovery"/>
    <n v="200"/>
    <s v="AHY"/>
    <s v="M"/>
    <n v="9"/>
    <n v="2014"/>
    <n v="2014"/>
    <n v="10"/>
    <x v="0"/>
    <s v="10B"/>
    <x v="7"/>
    <n v="1"/>
    <n v="7"/>
    <x v="0"/>
    <x v="0"/>
  </r>
  <r>
    <n v="12401"/>
    <n v="116809840"/>
    <s v="Recovery"/>
    <n v="200"/>
    <s v="AHY"/>
    <s v="F"/>
    <n v="9"/>
    <n v="2015"/>
    <n v="2015"/>
    <n v="11"/>
    <x v="0"/>
    <s v="11B"/>
    <x v="14"/>
    <n v="1"/>
    <n v="7"/>
    <x v="0"/>
    <x v="0"/>
  </r>
  <r>
    <n v="12410"/>
    <n v="116809849"/>
    <s v="Recovery"/>
    <n v="200"/>
    <s v="AHY"/>
    <s v="M"/>
    <n v="11"/>
    <n v="2014"/>
    <n v="2014"/>
    <n v="10"/>
    <x v="0"/>
    <s v="10B"/>
    <x v="7"/>
    <n v="1"/>
    <n v="7"/>
    <x v="0"/>
    <x v="0"/>
  </r>
  <r>
    <n v="12416"/>
    <n v="116809855"/>
    <s v="Recovery"/>
    <n v="200"/>
    <s v="AHY"/>
    <s v="F"/>
    <n v="9"/>
    <n v="2020"/>
    <n v="2020"/>
    <n v="16"/>
    <x v="0"/>
    <s v="16B"/>
    <x v="15"/>
    <n v="1"/>
    <n v="7"/>
    <x v="0"/>
    <x v="0"/>
  </r>
  <r>
    <n v="12421"/>
    <n v="116809860"/>
    <s v="Recovery"/>
    <n v="200"/>
    <s v="AHY"/>
    <s v="M"/>
    <n v="9"/>
    <n v="2014"/>
    <n v="2014"/>
    <n v="10"/>
    <x v="0"/>
    <s v="10B"/>
    <x v="7"/>
    <n v="1"/>
    <n v="7"/>
    <x v="0"/>
    <x v="0"/>
  </r>
  <r>
    <n v="12424"/>
    <n v="116809863"/>
    <s v="Recovery"/>
    <n v="200"/>
    <s v="AHY"/>
    <s v="M"/>
    <n v="12"/>
    <n v="2014"/>
    <n v="2014"/>
    <n v="10"/>
    <x v="0"/>
    <s v="10B"/>
    <x v="7"/>
    <n v="1"/>
    <n v="7"/>
    <x v="0"/>
    <x v="0"/>
  </r>
  <r>
    <n v="12425"/>
    <n v="116809864"/>
    <s v="Recovery"/>
    <n v="200"/>
    <s v="AHY"/>
    <s v="M"/>
    <n v="9"/>
    <n v="2015"/>
    <n v="2015"/>
    <n v="11"/>
    <x v="0"/>
    <s v="11B"/>
    <x v="14"/>
    <n v="1"/>
    <n v="7"/>
    <x v="0"/>
    <x v="0"/>
  </r>
  <r>
    <n v="12432"/>
    <n v="116809871"/>
    <s v="Recovery"/>
    <n v="200"/>
    <s v="AHY"/>
    <s v="M"/>
    <n v="9"/>
    <n v="2018"/>
    <n v="2018"/>
    <n v="14"/>
    <x v="0"/>
    <s v="14B"/>
    <x v="10"/>
    <n v="1"/>
    <n v="7"/>
    <x v="0"/>
    <x v="0"/>
  </r>
  <r>
    <n v="12442"/>
    <n v="116809881"/>
    <s v="Recovery"/>
    <n v="200"/>
    <s v="AHY"/>
    <s v="M"/>
    <n v="9"/>
    <n v="2015"/>
    <n v="2015"/>
    <n v="11"/>
    <x v="0"/>
    <s v="11B"/>
    <x v="14"/>
    <n v="1"/>
    <n v="7"/>
    <x v="0"/>
    <x v="0"/>
  </r>
  <r>
    <n v="12444"/>
    <n v="116809883"/>
    <s v="Recovery"/>
    <n v="200"/>
    <s v="AHY"/>
    <s v="M"/>
    <n v="12"/>
    <n v="2016"/>
    <n v="2016"/>
    <n v="12"/>
    <x v="0"/>
    <s v="12B"/>
    <x v="12"/>
    <n v="1"/>
    <n v="7"/>
    <x v="0"/>
    <x v="0"/>
  </r>
  <r>
    <n v="12446"/>
    <n v="116809885"/>
    <s v="Recovery"/>
    <n v="200"/>
    <s v="AHY"/>
    <s v="F"/>
    <n v="9"/>
    <n v="2014"/>
    <n v="2014"/>
    <n v="10"/>
    <x v="0"/>
    <s v="10B"/>
    <x v="7"/>
    <n v="1"/>
    <n v="7"/>
    <x v="0"/>
    <x v="0"/>
  </r>
  <r>
    <n v="12450"/>
    <n v="116809889"/>
    <s v="Recovery"/>
    <n v="200"/>
    <s v="AHY"/>
    <s v="M"/>
    <n v="1"/>
    <n v="2020"/>
    <n v="2019"/>
    <n v="15"/>
    <x v="0"/>
    <s v="15B"/>
    <x v="11"/>
    <n v="1"/>
    <n v="7"/>
    <x v="0"/>
    <x v="0"/>
  </r>
  <r>
    <n v="12451"/>
    <n v="116809890"/>
    <s v="Recovery"/>
    <n v="200"/>
    <s v="AHY"/>
    <s v="M"/>
    <n v="9"/>
    <n v="2018"/>
    <n v="2018"/>
    <n v="14"/>
    <x v="0"/>
    <s v="14B"/>
    <x v="10"/>
    <n v="1"/>
    <n v="7"/>
    <x v="0"/>
    <x v="0"/>
  </r>
  <r>
    <n v="12452"/>
    <n v="116809891"/>
    <s v="Recovery"/>
    <n v="200"/>
    <s v="AHY"/>
    <s v="M"/>
    <n v="9"/>
    <n v="2019"/>
    <n v="2019"/>
    <n v="15"/>
    <x v="0"/>
    <s v="15B"/>
    <x v="11"/>
    <n v="1"/>
    <n v="7"/>
    <x v="0"/>
    <x v="0"/>
  </r>
  <r>
    <n v="12457"/>
    <n v="116809896"/>
    <s v="Recovery"/>
    <n v="200"/>
    <s v="AHY"/>
    <s v="F"/>
    <n v="9"/>
    <n v="2015"/>
    <n v="2015"/>
    <n v="11"/>
    <x v="0"/>
    <s v="11B"/>
    <x v="14"/>
    <n v="1"/>
    <n v="7"/>
    <x v="0"/>
    <x v="0"/>
  </r>
  <r>
    <n v="12465"/>
    <n v="116809904"/>
    <s v="Recovery"/>
    <n v="200"/>
    <s v="AHY"/>
    <s v="F"/>
    <n v="9"/>
    <n v="2014"/>
    <n v="2014"/>
    <n v="10"/>
    <x v="0"/>
    <s v="10B"/>
    <x v="7"/>
    <n v="1"/>
    <n v="7"/>
    <x v="0"/>
    <x v="0"/>
  </r>
  <r>
    <n v="12472"/>
    <n v="116809911"/>
    <s v="Recovery"/>
    <n v="200"/>
    <s v="AHY"/>
    <s v="F"/>
    <n v="1"/>
    <n v="2015"/>
    <n v="2014"/>
    <n v="10"/>
    <x v="0"/>
    <s v="10B"/>
    <x v="7"/>
    <n v="1"/>
    <n v="7"/>
    <x v="0"/>
    <x v="0"/>
  </r>
  <r>
    <n v="12473"/>
    <n v="116809912"/>
    <s v="Recovery"/>
    <n v="200"/>
    <s v="AHY"/>
    <s v="M"/>
    <n v="1"/>
    <n v="2017"/>
    <n v="2016"/>
    <n v="12"/>
    <x v="0"/>
    <s v="12B"/>
    <x v="12"/>
    <n v="1"/>
    <n v="7"/>
    <x v="0"/>
    <x v="0"/>
  </r>
  <r>
    <n v="12475"/>
    <n v="116809914"/>
    <s v="Recovery"/>
    <n v="200"/>
    <s v="AHY"/>
    <s v="F"/>
    <n v="2"/>
    <n v="2018"/>
    <n v="2017"/>
    <n v="13"/>
    <x v="0"/>
    <s v="13B"/>
    <x v="13"/>
    <n v="1"/>
    <n v="7"/>
    <x v="0"/>
    <x v="0"/>
  </r>
  <r>
    <n v="12478"/>
    <n v="116809917"/>
    <s v="Recovery"/>
    <n v="200"/>
    <s v="AHY"/>
    <s v="F"/>
    <n v="1"/>
    <n v="2017"/>
    <n v="2016"/>
    <n v="12"/>
    <x v="0"/>
    <s v="12B"/>
    <x v="12"/>
    <n v="1"/>
    <n v="7"/>
    <x v="0"/>
    <x v="0"/>
  </r>
  <r>
    <n v="12485"/>
    <n v="116809924"/>
    <s v="Recovery"/>
    <n v="200"/>
    <s v="AHY"/>
    <s v="F"/>
    <n v="1"/>
    <n v="2018"/>
    <n v="2017"/>
    <n v="13"/>
    <x v="0"/>
    <s v="13B"/>
    <x v="13"/>
    <n v="1"/>
    <n v="7"/>
    <x v="0"/>
    <x v="0"/>
  </r>
  <r>
    <n v="12487"/>
    <n v="116809926"/>
    <s v="Recovery"/>
    <n v="200"/>
    <s v="AHY"/>
    <s v="M"/>
    <n v="1"/>
    <n v="2015"/>
    <n v="2014"/>
    <n v="10"/>
    <x v="0"/>
    <s v="10B"/>
    <x v="7"/>
    <n v="1"/>
    <n v="7"/>
    <x v="0"/>
    <x v="0"/>
  </r>
  <r>
    <n v="12489"/>
    <n v="116809928"/>
    <s v="Recovery"/>
    <n v="200"/>
    <s v="AHY"/>
    <s v="M"/>
    <n v="9"/>
    <n v="2018"/>
    <n v="2018"/>
    <n v="14"/>
    <x v="0"/>
    <s v="14B"/>
    <x v="10"/>
    <n v="1"/>
    <n v="7"/>
    <x v="0"/>
    <x v="0"/>
  </r>
  <r>
    <n v="12490"/>
    <n v="116809929"/>
    <s v="Recovery"/>
    <n v="200"/>
    <s v="AHY"/>
    <s v="F"/>
    <n v="1"/>
    <n v="2020"/>
    <n v="2019"/>
    <n v="15"/>
    <x v="0"/>
    <s v="15B"/>
    <x v="11"/>
    <n v="1"/>
    <n v="7"/>
    <x v="0"/>
    <x v="0"/>
  </r>
  <r>
    <n v="12491"/>
    <n v="116809930"/>
    <s v="Recovery"/>
    <n v="200"/>
    <s v="AHY"/>
    <s v="M"/>
    <n v="11"/>
    <n v="2014"/>
    <n v="2014"/>
    <n v="10"/>
    <x v="0"/>
    <s v="10B"/>
    <x v="7"/>
    <n v="1"/>
    <n v="7"/>
    <x v="0"/>
    <x v="0"/>
  </r>
  <r>
    <n v="12492"/>
    <n v="116809931"/>
    <s v="Recovery"/>
    <n v="200"/>
    <s v="AHY"/>
    <s v="M"/>
    <n v="12"/>
    <n v="2016"/>
    <n v="2016"/>
    <n v="12"/>
    <x v="0"/>
    <s v="12B"/>
    <x v="12"/>
    <n v="1"/>
    <n v="7"/>
    <x v="0"/>
    <x v="0"/>
  </r>
  <r>
    <n v="12493"/>
    <n v="116809932"/>
    <s v="Recovery"/>
    <n v="200"/>
    <s v="AHY"/>
    <s v="F"/>
    <n v="9"/>
    <n v="2014"/>
    <n v="2014"/>
    <n v="10"/>
    <x v="0"/>
    <s v="10B"/>
    <x v="7"/>
    <n v="1"/>
    <n v="7"/>
    <x v="0"/>
    <x v="0"/>
  </r>
  <r>
    <n v="12498"/>
    <n v="116809937"/>
    <s v="Recovery"/>
    <n v="200"/>
    <s v="AHY"/>
    <s v="F"/>
    <n v="12"/>
    <n v="2014"/>
    <n v="2014"/>
    <n v="10"/>
    <x v="0"/>
    <s v="10B"/>
    <x v="7"/>
    <n v="1"/>
    <n v="7"/>
    <x v="0"/>
    <x v="0"/>
  </r>
  <r>
    <n v="12503"/>
    <n v="116809942"/>
    <s v="Recovery"/>
    <n v="200"/>
    <s v="AHY"/>
    <s v="M"/>
    <n v="1"/>
    <n v="2015"/>
    <n v="2014"/>
    <n v="10"/>
    <x v="0"/>
    <s v="10B"/>
    <x v="7"/>
    <n v="1"/>
    <n v="7"/>
    <x v="0"/>
    <x v="0"/>
  </r>
  <r>
    <n v="12507"/>
    <n v="116809946"/>
    <s v="Recovery"/>
    <n v="200"/>
    <s v="AHY"/>
    <s v="M"/>
    <n v="9"/>
    <n v="2014"/>
    <n v="2014"/>
    <n v="10"/>
    <x v="0"/>
    <s v="10B"/>
    <x v="7"/>
    <n v="1"/>
    <n v="7"/>
    <x v="0"/>
    <x v="0"/>
  </r>
  <r>
    <n v="12511"/>
    <n v="116809950"/>
    <s v="Recovery"/>
    <n v="200"/>
    <s v="AHY"/>
    <s v="M"/>
    <n v="12"/>
    <n v="2014"/>
    <n v="2014"/>
    <n v="10"/>
    <x v="0"/>
    <s v="10B"/>
    <x v="7"/>
    <n v="1"/>
    <n v="7"/>
    <x v="0"/>
    <x v="0"/>
  </r>
  <r>
    <n v="12512"/>
    <n v="116809951"/>
    <s v="Recovery"/>
    <n v="200"/>
    <s v="AHY"/>
    <s v="U"/>
    <n v="12"/>
    <n v="2015"/>
    <n v="2015"/>
    <n v="11"/>
    <x v="0"/>
    <s v="11B"/>
    <x v="14"/>
    <n v="1"/>
    <n v="7"/>
    <x v="0"/>
    <x v="0"/>
  </r>
  <r>
    <n v="12514"/>
    <n v="116809953"/>
    <s v="Recovery"/>
    <n v="200"/>
    <s v="AHY"/>
    <s v="M"/>
    <n v="12"/>
    <n v="2018"/>
    <n v="2018"/>
    <n v="14"/>
    <x v="0"/>
    <s v="14B"/>
    <x v="10"/>
    <n v="1"/>
    <n v="7"/>
    <x v="0"/>
    <x v="0"/>
  </r>
  <r>
    <n v="12519"/>
    <n v="116809958"/>
    <s v="Recovery"/>
    <n v="200"/>
    <s v="AHY"/>
    <s v="M"/>
    <n v="9"/>
    <n v="2019"/>
    <n v="2019"/>
    <n v="15"/>
    <x v="0"/>
    <s v="15B"/>
    <x v="11"/>
    <n v="1"/>
    <n v="7"/>
    <x v="0"/>
    <x v="0"/>
  </r>
  <r>
    <n v="12524"/>
    <n v="116809963"/>
    <s v="Recovery"/>
    <n v="200"/>
    <s v="AHY"/>
    <s v="F"/>
    <n v="1"/>
    <n v="2015"/>
    <n v="2014"/>
    <n v="10"/>
    <x v="0"/>
    <s v="10B"/>
    <x v="7"/>
    <n v="1"/>
    <n v="7"/>
    <x v="0"/>
    <x v="0"/>
  </r>
  <r>
    <n v="12529"/>
    <n v="116809968"/>
    <s v="Recovery"/>
    <n v="200"/>
    <s v="AHY"/>
    <s v="M"/>
    <n v="1"/>
    <n v="2016"/>
    <n v="2015"/>
    <n v="11"/>
    <x v="0"/>
    <s v="11B"/>
    <x v="14"/>
    <n v="1"/>
    <n v="7"/>
    <x v="0"/>
    <x v="0"/>
  </r>
  <r>
    <n v="12531"/>
    <n v="116809970"/>
    <s v="Recovery"/>
    <n v="200"/>
    <s v="AHY"/>
    <s v="M"/>
    <n v="11"/>
    <n v="2014"/>
    <n v="2014"/>
    <n v="10"/>
    <x v="0"/>
    <s v="10B"/>
    <x v="7"/>
    <n v="1"/>
    <n v="7"/>
    <x v="0"/>
    <x v="0"/>
  </r>
  <r>
    <n v="12532"/>
    <n v="116809971"/>
    <s v="Recovery"/>
    <n v="200"/>
    <s v="AHY"/>
    <s v="F"/>
    <n v="1"/>
    <n v="2018"/>
    <n v="2017"/>
    <n v="13"/>
    <x v="0"/>
    <s v="13B"/>
    <x v="13"/>
    <n v="1"/>
    <n v="7"/>
    <x v="0"/>
    <x v="0"/>
  </r>
  <r>
    <n v="12534"/>
    <n v="116809973"/>
    <s v="Recovery"/>
    <n v="200"/>
    <s v="AHY"/>
    <s v="M"/>
    <n v="1"/>
    <n v="2018"/>
    <n v="2017"/>
    <n v="13"/>
    <x v="0"/>
    <s v="13B"/>
    <x v="13"/>
    <n v="1"/>
    <n v="7"/>
    <x v="0"/>
    <x v="0"/>
  </r>
  <r>
    <n v="12536"/>
    <n v="116809975"/>
    <s v="Recovery"/>
    <n v="200"/>
    <s v="AHY"/>
    <s v="F"/>
    <n v="1"/>
    <n v="2020"/>
    <n v="2019"/>
    <n v="15"/>
    <x v="0"/>
    <s v="15B"/>
    <x v="11"/>
    <n v="1"/>
    <n v="7"/>
    <x v="0"/>
    <x v="0"/>
  </r>
  <r>
    <n v="12537"/>
    <n v="116809976"/>
    <s v="Recovery"/>
    <n v="200"/>
    <s v="AHY"/>
    <s v="F"/>
    <n v="12"/>
    <n v="2019"/>
    <n v="2019"/>
    <n v="15"/>
    <x v="0"/>
    <s v="15B"/>
    <x v="11"/>
    <n v="1"/>
    <n v="7"/>
    <x v="0"/>
    <x v="0"/>
  </r>
  <r>
    <n v="12543"/>
    <n v="116809982"/>
    <s v="Recovery"/>
    <n v="200"/>
    <s v="AHY"/>
    <s v="F"/>
    <n v="1"/>
    <n v="2015"/>
    <n v="2014"/>
    <n v="10"/>
    <x v="0"/>
    <s v="10B"/>
    <x v="7"/>
    <n v="1"/>
    <n v="7"/>
    <x v="0"/>
    <x v="0"/>
  </r>
  <r>
    <n v="12545"/>
    <n v="116809984"/>
    <s v="Recovery"/>
    <n v="200"/>
    <s v="AHY"/>
    <s v="M"/>
    <n v="12"/>
    <n v="2014"/>
    <n v="2014"/>
    <n v="10"/>
    <x v="0"/>
    <s v="10B"/>
    <x v="7"/>
    <n v="1"/>
    <n v="7"/>
    <x v="0"/>
    <x v="0"/>
  </r>
  <r>
    <n v="12546"/>
    <n v="116809985"/>
    <s v="Recovery"/>
    <n v="200"/>
    <s v="AHY"/>
    <s v="F"/>
    <n v="1"/>
    <n v="2017"/>
    <n v="2016"/>
    <n v="12"/>
    <x v="0"/>
    <s v="12B"/>
    <x v="12"/>
    <n v="1"/>
    <n v="7"/>
    <x v="0"/>
    <x v="0"/>
  </r>
  <r>
    <n v="12547"/>
    <n v="116809986"/>
    <s v="Recovery"/>
    <n v="200"/>
    <s v="AHY"/>
    <s v="M"/>
    <n v="12"/>
    <n v="2017"/>
    <n v="2017"/>
    <n v="13"/>
    <x v="0"/>
    <s v="13B"/>
    <x v="13"/>
    <n v="1"/>
    <n v="7"/>
    <x v="0"/>
    <x v="0"/>
  </r>
  <r>
    <n v="12548"/>
    <n v="116809987"/>
    <s v="Recovery"/>
    <n v="200"/>
    <s v="AHY"/>
    <s v="M"/>
    <n v="1"/>
    <n v="2019"/>
    <n v="2018"/>
    <n v="14"/>
    <x v="0"/>
    <s v="14B"/>
    <x v="10"/>
    <n v="1"/>
    <n v="7"/>
    <x v="0"/>
    <x v="0"/>
  </r>
  <r>
    <n v="12554"/>
    <n v="116809993"/>
    <s v="Recovery"/>
    <n v="200"/>
    <s v="AHY"/>
    <s v="F"/>
    <n v="11"/>
    <n v="2015"/>
    <n v="2015"/>
    <n v="11"/>
    <x v="0"/>
    <s v="11B"/>
    <x v="14"/>
    <n v="1"/>
    <n v="7"/>
    <x v="0"/>
    <x v="0"/>
  </r>
  <r>
    <n v="12564"/>
    <n v="116816003"/>
    <s v="Recovery"/>
    <n v="200"/>
    <s v="AHY"/>
    <s v="F"/>
    <n v="1"/>
    <n v="2016"/>
    <n v="2015"/>
    <n v="11"/>
    <x v="0"/>
    <s v="11B"/>
    <x v="14"/>
    <n v="1"/>
    <n v="7"/>
    <x v="0"/>
    <x v="0"/>
  </r>
  <r>
    <n v="12566"/>
    <n v="116816005"/>
    <s v="Recovery"/>
    <n v="200"/>
    <s v="AHY"/>
    <s v="M"/>
    <n v="11"/>
    <n v="2015"/>
    <n v="2015"/>
    <n v="11"/>
    <x v="0"/>
    <s v="11B"/>
    <x v="14"/>
    <n v="1"/>
    <n v="7"/>
    <x v="0"/>
    <x v="0"/>
  </r>
  <r>
    <n v="12568"/>
    <n v="116816007"/>
    <s v="Recovery"/>
    <n v="200"/>
    <s v="AHY"/>
    <s v="M"/>
    <n v="12"/>
    <n v="2014"/>
    <n v="2014"/>
    <n v="10"/>
    <x v="0"/>
    <s v="10B"/>
    <x v="7"/>
    <n v="1"/>
    <n v="7"/>
    <x v="0"/>
    <x v="0"/>
  </r>
  <r>
    <n v="12572"/>
    <n v="116816011"/>
    <s v="Recovery"/>
    <n v="200"/>
    <s v="AHY"/>
    <s v="M"/>
    <n v="9"/>
    <n v="2014"/>
    <n v="2014"/>
    <n v="10"/>
    <x v="0"/>
    <s v="10B"/>
    <x v="7"/>
    <n v="1"/>
    <n v="7"/>
    <x v="0"/>
    <x v="0"/>
  </r>
  <r>
    <n v="12573"/>
    <n v="116816012"/>
    <s v="Recovery"/>
    <n v="200"/>
    <s v="AHY"/>
    <s v="F"/>
    <n v="1"/>
    <n v="2021"/>
    <n v="2020"/>
    <n v="16"/>
    <x v="0"/>
    <s v="16B"/>
    <x v="15"/>
    <n v="1"/>
    <n v="7"/>
    <x v="0"/>
    <x v="0"/>
  </r>
  <r>
    <n v="12576"/>
    <n v="116816015"/>
    <s v="Recovery"/>
    <n v="200"/>
    <s v="AHY"/>
    <s v="F"/>
    <n v="1"/>
    <n v="2016"/>
    <n v="2015"/>
    <n v="11"/>
    <x v="0"/>
    <s v="11B"/>
    <x v="14"/>
    <n v="1"/>
    <n v="7"/>
    <x v="0"/>
    <x v="0"/>
  </r>
  <r>
    <n v="12581"/>
    <n v="116816020"/>
    <s v="Recovery"/>
    <n v="200"/>
    <s v="AHY"/>
    <s v="F"/>
    <n v="12"/>
    <n v="2014"/>
    <n v="2014"/>
    <n v="10"/>
    <x v="0"/>
    <s v="10B"/>
    <x v="7"/>
    <n v="1"/>
    <n v="7"/>
    <x v="0"/>
    <x v="0"/>
  </r>
  <r>
    <n v="12584"/>
    <n v="116816023"/>
    <s v="Recovery"/>
    <n v="200"/>
    <s v="AHY"/>
    <s v="M"/>
    <n v="1"/>
    <n v="2016"/>
    <n v="2015"/>
    <n v="11"/>
    <x v="0"/>
    <s v="11B"/>
    <x v="14"/>
    <n v="1"/>
    <n v="7"/>
    <x v="0"/>
    <x v="0"/>
  </r>
  <r>
    <n v="12585"/>
    <n v="116816024"/>
    <s v="Recovery"/>
    <n v="200"/>
    <s v="AHY"/>
    <s v="F"/>
    <n v="12"/>
    <n v="2016"/>
    <n v="2016"/>
    <n v="12"/>
    <x v="0"/>
    <s v="12B"/>
    <x v="12"/>
    <n v="1"/>
    <n v="7"/>
    <x v="0"/>
    <x v="0"/>
  </r>
  <r>
    <n v="12586"/>
    <n v="116816025"/>
    <s v="Recovery"/>
    <n v="200"/>
    <s v="AHY"/>
    <s v="F"/>
    <n v="1"/>
    <n v="2015"/>
    <n v="2014"/>
    <n v="10"/>
    <x v="0"/>
    <s v="10B"/>
    <x v="7"/>
    <n v="1"/>
    <n v="7"/>
    <x v="0"/>
    <x v="0"/>
  </r>
  <r>
    <n v="12588"/>
    <n v="116816027"/>
    <s v="Recovery"/>
    <n v="200"/>
    <s v="AHY"/>
    <s v="F"/>
    <n v="1"/>
    <n v="2019"/>
    <n v="2018"/>
    <n v="14"/>
    <x v="0"/>
    <s v="14B"/>
    <x v="10"/>
    <n v="1"/>
    <n v="7"/>
    <x v="0"/>
    <x v="0"/>
  </r>
  <r>
    <n v="12590"/>
    <n v="116816029"/>
    <s v="Recovery"/>
    <n v="200"/>
    <s v="AHY"/>
    <s v="F"/>
    <n v="11"/>
    <n v="2015"/>
    <n v="2015"/>
    <n v="11"/>
    <x v="0"/>
    <s v="11B"/>
    <x v="14"/>
    <n v="1"/>
    <n v="7"/>
    <x v="0"/>
    <x v="0"/>
  </r>
  <r>
    <n v="12591"/>
    <n v="116816030"/>
    <s v="Recovery"/>
    <n v="200"/>
    <s v="AHY"/>
    <s v="F"/>
    <n v="12"/>
    <n v="2016"/>
    <n v="2016"/>
    <n v="12"/>
    <x v="0"/>
    <s v="12B"/>
    <x v="12"/>
    <n v="1"/>
    <n v="7"/>
    <x v="0"/>
    <x v="0"/>
  </r>
  <r>
    <n v="12593"/>
    <n v="116816032"/>
    <s v="Recovery"/>
    <n v="200"/>
    <s v="AHY"/>
    <s v="M"/>
    <n v="12"/>
    <n v="2019"/>
    <n v="2019"/>
    <n v="15"/>
    <x v="0"/>
    <s v="15B"/>
    <x v="11"/>
    <n v="1"/>
    <n v="7"/>
    <x v="0"/>
    <x v="0"/>
  </r>
  <r>
    <n v="12601"/>
    <n v="116816040"/>
    <s v="Recovery"/>
    <n v="200"/>
    <s v="AHY"/>
    <s v="M"/>
    <n v="1"/>
    <n v="2016"/>
    <n v="2015"/>
    <n v="11"/>
    <x v="0"/>
    <s v="11B"/>
    <x v="14"/>
    <n v="1"/>
    <n v="7"/>
    <x v="0"/>
    <x v="0"/>
  </r>
  <r>
    <n v="12602"/>
    <n v="116816041"/>
    <s v="Recovery"/>
    <n v="200"/>
    <s v="AHY"/>
    <s v="F"/>
    <n v="1"/>
    <n v="2019"/>
    <n v="2018"/>
    <n v="14"/>
    <x v="0"/>
    <s v="14B"/>
    <x v="10"/>
    <n v="1"/>
    <n v="7"/>
    <x v="0"/>
    <x v="0"/>
  </r>
  <r>
    <n v="12609"/>
    <n v="116816048"/>
    <s v="Recovery"/>
    <n v="200"/>
    <s v="AHY"/>
    <s v="M"/>
    <n v="1"/>
    <n v="2019"/>
    <n v="2018"/>
    <n v="14"/>
    <x v="0"/>
    <s v="14B"/>
    <x v="10"/>
    <n v="1"/>
    <n v="7"/>
    <x v="0"/>
    <x v="0"/>
  </r>
  <r>
    <n v="12614"/>
    <n v="116816053"/>
    <s v="Recovery"/>
    <n v="200"/>
    <s v="AHY"/>
    <s v="F"/>
    <n v="1"/>
    <n v="2015"/>
    <n v="2014"/>
    <n v="10"/>
    <x v="0"/>
    <s v="10B"/>
    <x v="7"/>
    <n v="1"/>
    <n v="7"/>
    <x v="0"/>
    <x v="0"/>
  </r>
  <r>
    <n v="12615"/>
    <n v="116816054"/>
    <s v="Recovery"/>
    <n v="200"/>
    <s v="AHY"/>
    <s v="M"/>
    <n v="1"/>
    <n v="2015"/>
    <n v="2014"/>
    <n v="10"/>
    <x v="0"/>
    <s v="10B"/>
    <x v="7"/>
    <n v="1"/>
    <n v="7"/>
    <x v="0"/>
    <x v="0"/>
  </r>
  <r>
    <n v="12617"/>
    <n v="116816056"/>
    <s v="Recovery"/>
    <n v="200"/>
    <s v="AHY"/>
    <s v="M"/>
    <n v="12"/>
    <n v="2015"/>
    <n v="2015"/>
    <n v="11"/>
    <x v="0"/>
    <s v="11B"/>
    <x v="14"/>
    <n v="1"/>
    <n v="7"/>
    <x v="0"/>
    <x v="0"/>
  </r>
  <r>
    <n v="12619"/>
    <n v="116816058"/>
    <s v="Recovery"/>
    <n v="200"/>
    <s v="AHY"/>
    <s v="F"/>
    <n v="1"/>
    <n v="2016"/>
    <n v="2015"/>
    <n v="11"/>
    <x v="0"/>
    <s v="11B"/>
    <x v="14"/>
    <n v="1"/>
    <n v="7"/>
    <x v="0"/>
    <x v="0"/>
  </r>
  <r>
    <n v="12625"/>
    <n v="116816064"/>
    <s v="Recovery"/>
    <n v="200"/>
    <s v="AHY"/>
    <s v="F"/>
    <n v="9"/>
    <n v="2017"/>
    <n v="2017"/>
    <n v="13"/>
    <x v="0"/>
    <s v="13B"/>
    <x v="13"/>
    <n v="1"/>
    <n v="7"/>
    <x v="0"/>
    <x v="0"/>
  </r>
  <r>
    <n v="12630"/>
    <n v="116816069"/>
    <s v="Recovery"/>
    <n v="200"/>
    <s v="AHY"/>
    <s v="M"/>
    <n v="9"/>
    <n v="2014"/>
    <n v="2014"/>
    <n v="10"/>
    <x v="0"/>
    <s v="10B"/>
    <x v="7"/>
    <n v="1"/>
    <n v="7"/>
    <x v="0"/>
    <x v="0"/>
  </r>
  <r>
    <n v="12631"/>
    <n v="116816070"/>
    <s v="Recovery"/>
    <n v="200"/>
    <s v="AHY"/>
    <s v="F"/>
    <n v="1"/>
    <n v="2017"/>
    <n v="2016"/>
    <n v="12"/>
    <x v="0"/>
    <s v="12B"/>
    <x v="12"/>
    <n v="1"/>
    <n v="7"/>
    <x v="0"/>
    <x v="0"/>
  </r>
  <r>
    <n v="12633"/>
    <n v="116816072"/>
    <s v="Recovery"/>
    <n v="200"/>
    <s v="AHY"/>
    <s v="F"/>
    <n v="12"/>
    <n v="2015"/>
    <n v="2015"/>
    <n v="11"/>
    <x v="0"/>
    <s v="11B"/>
    <x v="14"/>
    <n v="1"/>
    <n v="7"/>
    <x v="0"/>
    <x v="0"/>
  </r>
  <r>
    <n v="12634"/>
    <n v="116816073"/>
    <s v="Recovery"/>
    <n v="200"/>
    <s v="AHY"/>
    <s v="M"/>
    <n v="1"/>
    <n v="2015"/>
    <n v="2014"/>
    <n v="10"/>
    <x v="0"/>
    <s v="10B"/>
    <x v="7"/>
    <n v="1"/>
    <n v="7"/>
    <x v="0"/>
    <x v="0"/>
  </r>
  <r>
    <n v="12636"/>
    <n v="116816075"/>
    <s v="Recovery"/>
    <n v="200"/>
    <s v="AHY"/>
    <s v="M"/>
    <n v="11"/>
    <n v="2015"/>
    <n v="2015"/>
    <n v="11"/>
    <x v="0"/>
    <s v="11B"/>
    <x v="14"/>
    <n v="1"/>
    <n v="7"/>
    <x v="0"/>
    <x v="0"/>
  </r>
  <r>
    <n v="12645"/>
    <n v="116816084"/>
    <s v="Recovery"/>
    <n v="200"/>
    <s v="AHY"/>
    <s v="F"/>
    <n v="1"/>
    <n v="2019"/>
    <n v="2018"/>
    <n v="14"/>
    <x v="0"/>
    <s v="14B"/>
    <x v="10"/>
    <n v="1"/>
    <n v="7"/>
    <x v="0"/>
    <x v="0"/>
  </r>
  <r>
    <n v="12646"/>
    <n v="116816085"/>
    <s v="Recovery"/>
    <n v="200"/>
    <s v="AHY"/>
    <s v="M"/>
    <n v="9"/>
    <n v="2014"/>
    <n v="2014"/>
    <n v="10"/>
    <x v="0"/>
    <s v="10B"/>
    <x v="7"/>
    <n v="1"/>
    <n v="7"/>
    <x v="0"/>
    <x v="0"/>
  </r>
  <r>
    <n v="12651"/>
    <n v="116816090"/>
    <s v="Recovery"/>
    <n v="200"/>
    <s v="AHY"/>
    <s v="F"/>
    <n v="9"/>
    <n v="2014"/>
    <n v="2014"/>
    <n v="10"/>
    <x v="0"/>
    <s v="10B"/>
    <x v="7"/>
    <n v="1"/>
    <n v="7"/>
    <x v="0"/>
    <x v="0"/>
  </r>
  <r>
    <n v="12653"/>
    <n v="116816092"/>
    <s v="Recovery"/>
    <n v="200"/>
    <s v="AHY"/>
    <s v="M"/>
    <n v="12"/>
    <n v="2015"/>
    <n v="2015"/>
    <n v="11"/>
    <x v="0"/>
    <s v="11B"/>
    <x v="14"/>
    <n v="1"/>
    <n v="7"/>
    <x v="0"/>
    <x v="0"/>
  </r>
  <r>
    <n v="12659"/>
    <n v="116816098"/>
    <s v="Recovery"/>
    <n v="200"/>
    <s v="AHY"/>
    <s v="F"/>
    <n v="12"/>
    <n v="2015"/>
    <n v="2015"/>
    <n v="11"/>
    <x v="0"/>
    <s v="11B"/>
    <x v="14"/>
    <n v="1"/>
    <n v="7"/>
    <x v="0"/>
    <x v="0"/>
  </r>
  <r>
    <n v="12660"/>
    <n v="116816099"/>
    <s v="Recovery"/>
    <n v="200"/>
    <s v="AHY"/>
    <s v="F"/>
    <n v="9"/>
    <n v="2014"/>
    <n v="2014"/>
    <n v="10"/>
    <x v="0"/>
    <s v="10B"/>
    <x v="7"/>
    <n v="1"/>
    <n v="7"/>
    <x v="0"/>
    <x v="0"/>
  </r>
  <r>
    <n v="12675"/>
    <n v="116816114"/>
    <s v="Recovery"/>
    <n v="200"/>
    <s v="AHY"/>
    <s v="M"/>
    <n v="11"/>
    <n v="2015"/>
    <n v="2015"/>
    <n v="11"/>
    <x v="0"/>
    <s v="11B"/>
    <x v="14"/>
    <n v="1"/>
    <n v="7"/>
    <x v="0"/>
    <x v="0"/>
  </r>
  <r>
    <n v="12676"/>
    <n v="116816115"/>
    <s v="Recovery"/>
    <n v="200"/>
    <s v="AHY"/>
    <s v="F"/>
    <n v="12"/>
    <n v="2015"/>
    <n v="2015"/>
    <n v="11"/>
    <x v="0"/>
    <s v="11B"/>
    <x v="14"/>
    <n v="1"/>
    <n v="7"/>
    <x v="0"/>
    <x v="0"/>
  </r>
  <r>
    <n v="12677"/>
    <n v="116816116"/>
    <s v="Recovery"/>
    <n v="200"/>
    <s v="AHY"/>
    <s v="F"/>
    <n v="1"/>
    <n v="2015"/>
    <n v="2014"/>
    <n v="10"/>
    <x v="0"/>
    <s v="10B"/>
    <x v="7"/>
    <n v="1"/>
    <n v="7"/>
    <x v="0"/>
    <x v="0"/>
  </r>
  <r>
    <n v="12682"/>
    <n v="116816121"/>
    <s v="Recovery"/>
    <n v="200"/>
    <s v="AHY"/>
    <s v="F"/>
    <n v="1"/>
    <n v="2016"/>
    <n v="2015"/>
    <n v="11"/>
    <x v="0"/>
    <s v="11B"/>
    <x v="14"/>
    <n v="1"/>
    <n v="7"/>
    <x v="0"/>
    <x v="0"/>
  </r>
  <r>
    <n v="12683"/>
    <n v="116816122"/>
    <s v="Recovery"/>
    <n v="200"/>
    <s v="AHY"/>
    <s v="F"/>
    <n v="1"/>
    <n v="2018"/>
    <n v="2017"/>
    <n v="13"/>
    <x v="0"/>
    <s v="13B"/>
    <x v="13"/>
    <n v="1"/>
    <n v="7"/>
    <x v="0"/>
    <x v="0"/>
  </r>
  <r>
    <n v="12688"/>
    <n v="116816127"/>
    <s v="Recovery"/>
    <n v="200"/>
    <s v="AHY"/>
    <s v="F"/>
    <n v="1"/>
    <n v="2016"/>
    <n v="2015"/>
    <n v="11"/>
    <x v="0"/>
    <s v="11B"/>
    <x v="14"/>
    <n v="1"/>
    <n v="7"/>
    <x v="0"/>
    <x v="0"/>
  </r>
  <r>
    <n v="12690"/>
    <n v="116816129"/>
    <s v="Recovery"/>
    <n v="200"/>
    <s v="AHY"/>
    <s v="F"/>
    <n v="9"/>
    <n v="2017"/>
    <n v="2017"/>
    <n v="13"/>
    <x v="0"/>
    <s v="13B"/>
    <x v="13"/>
    <n v="1"/>
    <n v="7"/>
    <x v="0"/>
    <x v="0"/>
  </r>
  <r>
    <n v="12696"/>
    <n v="116816135"/>
    <s v="Recovery"/>
    <n v="200"/>
    <s v="AHY"/>
    <s v="M"/>
    <n v="9"/>
    <n v="2019"/>
    <n v="2019"/>
    <n v="15"/>
    <x v="0"/>
    <s v="15B"/>
    <x v="11"/>
    <n v="1"/>
    <n v="7"/>
    <x v="0"/>
    <x v="0"/>
  </r>
  <r>
    <n v="12697"/>
    <n v="116816136"/>
    <s v="Recovery"/>
    <n v="200"/>
    <s v="AHY"/>
    <s v="F"/>
    <n v="1"/>
    <n v="2018"/>
    <n v="2017"/>
    <n v="13"/>
    <x v="0"/>
    <s v="13B"/>
    <x v="13"/>
    <n v="1"/>
    <n v="7"/>
    <x v="0"/>
    <x v="0"/>
  </r>
  <r>
    <n v="12698"/>
    <n v="116816137"/>
    <s v="Recovery"/>
    <n v="200"/>
    <s v="AHY"/>
    <s v="F"/>
    <n v="9"/>
    <n v="2020"/>
    <n v="2020"/>
    <n v="16"/>
    <x v="0"/>
    <s v="16B"/>
    <x v="15"/>
    <n v="1"/>
    <n v="7"/>
    <x v="0"/>
    <x v="0"/>
  </r>
  <r>
    <n v="12702"/>
    <n v="116816141"/>
    <s v="Recovery"/>
    <n v="200"/>
    <s v="AHY"/>
    <s v="M"/>
    <n v="1"/>
    <n v="2019"/>
    <n v="2018"/>
    <n v="14"/>
    <x v="0"/>
    <s v="14B"/>
    <x v="10"/>
    <n v="1"/>
    <n v="7"/>
    <x v="0"/>
    <x v="0"/>
  </r>
  <r>
    <n v="12706"/>
    <n v="116816145"/>
    <s v="Recovery"/>
    <n v="200"/>
    <s v="AHY"/>
    <s v="F"/>
    <n v="9"/>
    <n v="2018"/>
    <n v="2018"/>
    <n v="14"/>
    <x v="0"/>
    <s v="14B"/>
    <x v="10"/>
    <n v="1"/>
    <n v="7"/>
    <x v="0"/>
    <x v="0"/>
  </r>
  <r>
    <n v="12709"/>
    <n v="116816148"/>
    <s v="Recovery"/>
    <n v="200"/>
    <s v="AHY"/>
    <s v="M"/>
    <n v="9"/>
    <n v="2017"/>
    <n v="2017"/>
    <n v="13"/>
    <x v="0"/>
    <s v="13B"/>
    <x v="13"/>
    <n v="1"/>
    <n v="7"/>
    <x v="0"/>
    <x v="0"/>
  </r>
  <r>
    <n v="12714"/>
    <n v="116816153"/>
    <s v="Recovery"/>
    <n v="200"/>
    <s v="AHY"/>
    <s v="F"/>
    <n v="9"/>
    <n v="2018"/>
    <n v="2018"/>
    <n v="14"/>
    <x v="0"/>
    <s v="14B"/>
    <x v="10"/>
    <n v="1"/>
    <n v="7"/>
    <x v="0"/>
    <x v="0"/>
  </r>
  <r>
    <n v="12717"/>
    <n v="116816156"/>
    <s v="Recovery"/>
    <n v="200"/>
    <s v="AHY"/>
    <s v="F"/>
    <n v="12"/>
    <n v="2020"/>
    <n v="2020"/>
    <n v="16"/>
    <x v="0"/>
    <s v="16B"/>
    <x v="15"/>
    <n v="1"/>
    <n v="7"/>
    <x v="0"/>
    <x v="0"/>
  </r>
  <r>
    <n v="12718"/>
    <n v="116816157"/>
    <s v="Recovery"/>
    <n v="200"/>
    <s v="HY"/>
    <s v="F"/>
    <n v="9"/>
    <n v="2014"/>
    <n v="2014"/>
    <n v="10"/>
    <x v="0"/>
    <s v="10B"/>
    <x v="7"/>
    <n v="1"/>
    <n v="7"/>
    <x v="0"/>
    <x v="0"/>
  </r>
  <r>
    <n v="12721"/>
    <n v="116816160"/>
    <s v="Recovery"/>
    <n v="200"/>
    <s v="AHY"/>
    <s v="F"/>
    <n v="9"/>
    <n v="2019"/>
    <n v="2019"/>
    <n v="15"/>
    <x v="0"/>
    <s v="15B"/>
    <x v="11"/>
    <n v="1"/>
    <n v="7"/>
    <x v="0"/>
    <x v="0"/>
  </r>
  <r>
    <n v="12724"/>
    <n v="116816163"/>
    <s v="Recovery"/>
    <n v="200"/>
    <s v="AHY"/>
    <s v="F"/>
    <n v="9"/>
    <n v="2018"/>
    <n v="2018"/>
    <n v="14"/>
    <x v="0"/>
    <s v="14B"/>
    <x v="10"/>
    <n v="1"/>
    <n v="7"/>
    <x v="0"/>
    <x v="0"/>
  </r>
  <r>
    <n v="12726"/>
    <n v="116816165"/>
    <s v="Recovery"/>
    <n v="200"/>
    <s v="AHY"/>
    <s v="M"/>
    <n v="1"/>
    <n v="2021"/>
    <n v="2020"/>
    <n v="16"/>
    <x v="0"/>
    <s v="16B"/>
    <x v="15"/>
    <n v="1"/>
    <n v="7"/>
    <x v="0"/>
    <x v="0"/>
  </r>
  <r>
    <n v="12728"/>
    <n v="116816167"/>
    <s v="Recovery"/>
    <n v="200"/>
    <s v="AHY"/>
    <s v="M"/>
    <n v="9"/>
    <n v="2016"/>
    <n v="2016"/>
    <n v="12"/>
    <x v="0"/>
    <s v="12B"/>
    <x v="12"/>
    <n v="1"/>
    <n v="7"/>
    <x v="0"/>
    <x v="0"/>
  </r>
  <r>
    <n v="12729"/>
    <n v="116816168"/>
    <s v="Recovery"/>
    <n v="200"/>
    <s v="AHY"/>
    <s v="M"/>
    <n v="1"/>
    <n v="2015"/>
    <n v="2014"/>
    <n v="10"/>
    <x v="0"/>
    <s v="10B"/>
    <x v="7"/>
    <n v="1"/>
    <n v="7"/>
    <x v="0"/>
    <x v="0"/>
  </r>
  <r>
    <n v="12730"/>
    <n v="116816169"/>
    <s v="Recovery"/>
    <n v="200"/>
    <s v="AHY"/>
    <s v="F"/>
    <n v="1"/>
    <n v="2016"/>
    <n v="2015"/>
    <n v="11"/>
    <x v="0"/>
    <s v="11B"/>
    <x v="14"/>
    <n v="1"/>
    <n v="7"/>
    <x v="0"/>
    <x v="0"/>
  </r>
  <r>
    <n v="12731"/>
    <n v="116816170"/>
    <s v="Recovery"/>
    <n v="200"/>
    <s v="AHY"/>
    <s v="F"/>
    <n v="9"/>
    <n v="2018"/>
    <n v="2018"/>
    <n v="14"/>
    <x v="0"/>
    <s v="14B"/>
    <x v="10"/>
    <n v="1"/>
    <n v="7"/>
    <x v="0"/>
    <x v="0"/>
  </r>
  <r>
    <n v="12735"/>
    <n v="116816174"/>
    <s v="Recovery"/>
    <n v="200"/>
    <s v="AHY"/>
    <s v="F"/>
    <n v="1"/>
    <n v="2020"/>
    <n v="2019"/>
    <n v="15"/>
    <x v="0"/>
    <s v="15B"/>
    <x v="11"/>
    <n v="1"/>
    <n v="7"/>
    <x v="0"/>
    <x v="0"/>
  </r>
  <r>
    <n v="12741"/>
    <n v="116816180"/>
    <s v="Recovery"/>
    <n v="200"/>
    <s v="AHY"/>
    <s v="F"/>
    <n v="1"/>
    <n v="2016"/>
    <n v="2015"/>
    <n v="11"/>
    <x v="0"/>
    <s v="11B"/>
    <x v="14"/>
    <n v="1"/>
    <n v="7"/>
    <x v="0"/>
    <x v="0"/>
  </r>
  <r>
    <n v="12746"/>
    <n v="116863004"/>
    <s v="Recovery"/>
    <n v="200"/>
    <s v="AHY"/>
    <s v="F"/>
    <n v="9"/>
    <n v="2018"/>
    <n v="2018"/>
    <n v="14"/>
    <x v="0"/>
    <s v="14B"/>
    <x v="10"/>
    <n v="1"/>
    <n v="7"/>
    <x v="0"/>
    <x v="0"/>
  </r>
  <r>
    <n v="12747"/>
    <n v="116863005"/>
    <s v="Recovery"/>
    <n v="200"/>
    <s v="AHY"/>
    <s v="F"/>
    <n v="1"/>
    <n v="2017"/>
    <n v="2016"/>
    <n v="12"/>
    <x v="0"/>
    <s v="12B"/>
    <x v="12"/>
    <n v="1"/>
    <n v="7"/>
    <x v="0"/>
    <x v="0"/>
  </r>
  <r>
    <n v="12748"/>
    <n v="116863006"/>
    <s v="Recovery"/>
    <n v="200"/>
    <s v="AHY"/>
    <s v="F"/>
    <n v="9"/>
    <n v="2015"/>
    <n v="2015"/>
    <n v="11"/>
    <x v="0"/>
    <s v="11B"/>
    <x v="14"/>
    <n v="1"/>
    <n v="7"/>
    <x v="0"/>
    <x v="0"/>
  </r>
  <r>
    <n v="12750"/>
    <n v="116863008"/>
    <s v="Recovery"/>
    <n v="200"/>
    <s v="AHY"/>
    <s v="M"/>
    <n v="9"/>
    <n v="2015"/>
    <n v="2015"/>
    <n v="11"/>
    <x v="0"/>
    <s v="11B"/>
    <x v="14"/>
    <n v="1"/>
    <n v="7"/>
    <x v="0"/>
    <x v="0"/>
  </r>
  <r>
    <n v="12753"/>
    <n v="116863011"/>
    <s v="Recovery"/>
    <n v="200"/>
    <s v="AHY"/>
    <s v="M"/>
    <n v="9"/>
    <n v="2016"/>
    <n v="2016"/>
    <n v="12"/>
    <x v="0"/>
    <s v="12B"/>
    <x v="12"/>
    <n v="1"/>
    <n v="7"/>
    <x v="0"/>
    <x v="0"/>
  </r>
  <r>
    <n v="12758"/>
    <n v="116863016"/>
    <s v="Recovery"/>
    <n v="200"/>
    <s v="AHY"/>
    <s v="F"/>
    <n v="1"/>
    <n v="2018"/>
    <n v="2017"/>
    <n v="13"/>
    <x v="0"/>
    <s v="13B"/>
    <x v="13"/>
    <n v="1"/>
    <n v="7"/>
    <x v="0"/>
    <x v="0"/>
  </r>
  <r>
    <n v="12760"/>
    <n v="116863018"/>
    <s v="Recovery"/>
    <n v="200"/>
    <s v="AHY"/>
    <s v="F"/>
    <n v="9"/>
    <n v="2019"/>
    <n v="2019"/>
    <n v="15"/>
    <x v="0"/>
    <s v="15B"/>
    <x v="11"/>
    <n v="1"/>
    <n v="45"/>
    <x v="1"/>
    <x v="1"/>
  </r>
  <r>
    <n v="12765"/>
    <n v="116863023"/>
    <s v="Recovery"/>
    <n v="200"/>
    <s v="AHY"/>
    <s v="M"/>
    <n v="9"/>
    <n v="2015"/>
    <n v="2015"/>
    <n v="11"/>
    <x v="0"/>
    <s v="11B"/>
    <x v="14"/>
    <n v="1"/>
    <n v="7"/>
    <x v="0"/>
    <x v="0"/>
  </r>
  <r>
    <n v="12771"/>
    <n v="116863029"/>
    <s v="Recovery"/>
    <n v="200"/>
    <s v="AHY"/>
    <s v="F"/>
    <n v="9"/>
    <n v="2018"/>
    <n v="2018"/>
    <n v="14"/>
    <x v="0"/>
    <s v="14B"/>
    <x v="10"/>
    <n v="1"/>
    <n v="7"/>
    <x v="0"/>
    <x v="0"/>
  </r>
  <r>
    <n v="12777"/>
    <n v="116863035"/>
    <s v="Recovery"/>
    <n v="200"/>
    <s v="AHY"/>
    <s v="F"/>
    <n v="9"/>
    <n v="2020"/>
    <n v="2020"/>
    <n v="16"/>
    <x v="0"/>
    <s v="16B"/>
    <x v="15"/>
    <n v="1"/>
    <n v="7"/>
    <x v="0"/>
    <x v="0"/>
  </r>
  <r>
    <n v="12779"/>
    <n v="116863037"/>
    <s v="Recovery"/>
    <n v="200"/>
    <s v="AHY"/>
    <s v="M"/>
    <n v="1"/>
    <n v="2017"/>
    <n v="2016"/>
    <n v="12"/>
    <x v="0"/>
    <s v="12B"/>
    <x v="12"/>
    <n v="1"/>
    <n v="7"/>
    <x v="0"/>
    <x v="0"/>
  </r>
  <r>
    <n v="12782"/>
    <n v="116863040"/>
    <s v="Recovery"/>
    <n v="200"/>
    <s v="AHY"/>
    <s v="F"/>
    <n v="9"/>
    <n v="2019"/>
    <n v="2019"/>
    <n v="15"/>
    <x v="0"/>
    <s v="15B"/>
    <x v="11"/>
    <n v="1"/>
    <n v="7"/>
    <x v="0"/>
    <x v="0"/>
  </r>
  <r>
    <n v="12785"/>
    <n v="116863043"/>
    <s v="Recovery"/>
    <n v="200"/>
    <s v="AHY"/>
    <s v="M"/>
    <n v="2"/>
    <n v="2018"/>
    <n v="2017"/>
    <n v="13"/>
    <x v="0"/>
    <s v="13B"/>
    <x v="13"/>
    <n v="1"/>
    <n v="7"/>
    <x v="0"/>
    <x v="0"/>
  </r>
  <r>
    <n v="12792"/>
    <n v="116863050"/>
    <s v="Recovery"/>
    <n v="200"/>
    <s v="AHY"/>
    <s v="M"/>
    <n v="12"/>
    <n v="2019"/>
    <n v="2019"/>
    <n v="15"/>
    <x v="0"/>
    <s v="15B"/>
    <x v="11"/>
    <n v="1"/>
    <n v="7"/>
    <x v="0"/>
    <x v="0"/>
  </r>
  <r>
    <n v="12794"/>
    <n v="116863052"/>
    <s v="Recovery"/>
    <n v="200"/>
    <s v="AHY"/>
    <s v="M"/>
    <n v="9"/>
    <n v="2016"/>
    <n v="2016"/>
    <n v="12"/>
    <x v="0"/>
    <s v="12B"/>
    <x v="12"/>
    <n v="1"/>
    <n v="7"/>
    <x v="0"/>
    <x v="0"/>
  </r>
  <r>
    <n v="12796"/>
    <n v="116863054"/>
    <s v="Recovery"/>
    <n v="200"/>
    <s v="AHY"/>
    <s v="F"/>
    <n v="9"/>
    <n v="2019"/>
    <n v="2019"/>
    <n v="15"/>
    <x v="0"/>
    <s v="15B"/>
    <x v="11"/>
    <n v="1"/>
    <n v="7"/>
    <x v="0"/>
    <x v="0"/>
  </r>
  <r>
    <n v="12798"/>
    <n v="116863056"/>
    <s v="Recovery"/>
    <n v="200"/>
    <s v="AHY"/>
    <s v="M"/>
    <n v="1"/>
    <n v="2019"/>
    <n v="2018"/>
    <n v="14"/>
    <x v="0"/>
    <s v="14B"/>
    <x v="10"/>
    <n v="1"/>
    <n v="7"/>
    <x v="0"/>
    <x v="0"/>
  </r>
  <r>
    <n v="12800"/>
    <n v="116863058"/>
    <s v="Recovery"/>
    <n v="200"/>
    <s v="AHY"/>
    <s v="M"/>
    <n v="9"/>
    <n v="2015"/>
    <n v="2015"/>
    <n v="11"/>
    <x v="0"/>
    <s v="11B"/>
    <x v="14"/>
    <n v="1"/>
    <n v="7"/>
    <x v="0"/>
    <x v="0"/>
  </r>
  <r>
    <n v="12803"/>
    <n v="116863061"/>
    <s v="Recovery"/>
    <n v="200"/>
    <s v="AHY"/>
    <s v="F"/>
    <n v="11"/>
    <n v="2017"/>
    <n v="2017"/>
    <n v="13"/>
    <x v="0"/>
    <s v="13B"/>
    <x v="13"/>
    <n v="1"/>
    <n v="7"/>
    <x v="0"/>
    <x v="0"/>
  </r>
  <r>
    <n v="12806"/>
    <n v="116863064"/>
    <s v="Recovery"/>
    <n v="200"/>
    <s v="AHY"/>
    <s v="F"/>
    <n v="9"/>
    <n v="2016"/>
    <n v="2016"/>
    <n v="12"/>
    <x v="0"/>
    <s v="12B"/>
    <x v="12"/>
    <n v="1"/>
    <n v="7"/>
    <x v="0"/>
    <x v="0"/>
  </r>
  <r>
    <n v="12811"/>
    <n v="116863069"/>
    <s v="Recovery"/>
    <n v="200"/>
    <s v="AHY"/>
    <s v="M"/>
    <n v="9"/>
    <n v="2018"/>
    <n v="2018"/>
    <n v="14"/>
    <x v="0"/>
    <s v="14B"/>
    <x v="10"/>
    <n v="1"/>
    <n v="7"/>
    <x v="0"/>
    <x v="0"/>
  </r>
  <r>
    <n v="12814"/>
    <n v="116863072"/>
    <s v="Recovery"/>
    <n v="200"/>
    <s v="AHY"/>
    <s v="M"/>
    <n v="9"/>
    <n v="2019"/>
    <n v="2019"/>
    <n v="15"/>
    <x v="0"/>
    <s v="15B"/>
    <x v="11"/>
    <n v="1"/>
    <n v="7"/>
    <x v="0"/>
    <x v="0"/>
  </r>
  <r>
    <n v="12821"/>
    <n v="116863079"/>
    <s v="Recovery"/>
    <n v="200"/>
    <s v="AHY"/>
    <s v="M"/>
    <n v="9"/>
    <n v="2015"/>
    <n v="2015"/>
    <n v="11"/>
    <x v="0"/>
    <s v="11B"/>
    <x v="14"/>
    <n v="1"/>
    <n v="7"/>
    <x v="0"/>
    <x v="0"/>
  </r>
  <r>
    <n v="12826"/>
    <n v="116863084"/>
    <s v="Recovery"/>
    <n v="200"/>
    <s v="AHY"/>
    <s v="M"/>
    <n v="9"/>
    <n v="2019"/>
    <n v="2019"/>
    <n v="15"/>
    <x v="0"/>
    <s v="15B"/>
    <x v="11"/>
    <n v="1"/>
    <n v="7"/>
    <x v="0"/>
    <x v="0"/>
  </r>
  <r>
    <n v="12828"/>
    <n v="116863086"/>
    <s v="Recovery"/>
    <n v="200"/>
    <s v="AHY"/>
    <s v="M"/>
    <n v="1"/>
    <n v="2020"/>
    <n v="2019"/>
    <n v="15"/>
    <x v="0"/>
    <s v="15B"/>
    <x v="11"/>
    <n v="1"/>
    <n v="7"/>
    <x v="0"/>
    <x v="0"/>
  </r>
  <r>
    <n v="12836"/>
    <n v="116863094"/>
    <s v="Recovery"/>
    <n v="200"/>
    <s v="AHY"/>
    <s v="F"/>
    <n v="9"/>
    <n v="2016"/>
    <n v="2016"/>
    <n v="12"/>
    <x v="0"/>
    <s v="12B"/>
    <x v="12"/>
    <n v="1"/>
    <n v="7"/>
    <x v="0"/>
    <x v="0"/>
  </r>
  <r>
    <n v="12839"/>
    <n v="116863097"/>
    <s v="Recovery"/>
    <n v="200"/>
    <s v="AHY"/>
    <s v="M"/>
    <n v="9"/>
    <n v="2015"/>
    <n v="2015"/>
    <n v="11"/>
    <x v="0"/>
    <s v="11B"/>
    <x v="14"/>
    <n v="1"/>
    <n v="7"/>
    <x v="0"/>
    <x v="0"/>
  </r>
  <r>
    <n v="12841"/>
    <n v="116863099"/>
    <s v="Recovery"/>
    <n v="200"/>
    <s v="AHY"/>
    <s v="F"/>
    <n v="9"/>
    <n v="2015"/>
    <n v="2015"/>
    <n v="11"/>
    <x v="0"/>
    <s v="11B"/>
    <x v="14"/>
    <n v="1"/>
    <n v="7"/>
    <x v="0"/>
    <x v="0"/>
  </r>
  <r>
    <n v="12845"/>
    <n v="116863103"/>
    <s v="Recovery"/>
    <n v="200"/>
    <s v="AHY"/>
    <s v="M"/>
    <n v="9"/>
    <n v="2015"/>
    <n v="2015"/>
    <n v="11"/>
    <x v="0"/>
    <s v="11B"/>
    <x v="14"/>
    <n v="1"/>
    <n v="7"/>
    <x v="0"/>
    <x v="0"/>
  </r>
  <r>
    <n v="12848"/>
    <n v="116863106"/>
    <s v="Recovery"/>
    <n v="200"/>
    <s v="AHY"/>
    <s v="F"/>
    <n v="11"/>
    <n v="2018"/>
    <n v="2018"/>
    <n v="14"/>
    <x v="0"/>
    <s v="14B"/>
    <x v="10"/>
    <n v="1"/>
    <n v="7"/>
    <x v="0"/>
    <x v="0"/>
  </r>
  <r>
    <n v="12849"/>
    <n v="116863107"/>
    <s v="Recovery"/>
    <n v="200"/>
    <s v="AHY"/>
    <s v="F"/>
    <n v="9"/>
    <n v="2016"/>
    <n v="2016"/>
    <n v="12"/>
    <x v="0"/>
    <s v="12B"/>
    <x v="12"/>
    <n v="1"/>
    <n v="7"/>
    <x v="0"/>
    <x v="0"/>
  </r>
  <r>
    <n v="12852"/>
    <n v="116863110"/>
    <s v="Recovery"/>
    <n v="200"/>
    <s v="AHY"/>
    <s v="F"/>
    <n v="9"/>
    <n v="2015"/>
    <n v="2015"/>
    <n v="11"/>
    <x v="0"/>
    <s v="11B"/>
    <x v="14"/>
    <n v="1"/>
    <n v="7"/>
    <x v="0"/>
    <x v="0"/>
  </r>
  <r>
    <n v="12854"/>
    <n v="116863112"/>
    <s v="Recovery"/>
    <n v="200"/>
    <s v="AHY"/>
    <s v="M"/>
    <n v="1"/>
    <n v="2018"/>
    <n v="2017"/>
    <n v="13"/>
    <x v="0"/>
    <s v="13B"/>
    <x v="13"/>
    <n v="1"/>
    <n v="7"/>
    <x v="0"/>
    <x v="0"/>
  </r>
  <r>
    <n v="12864"/>
    <n v="116863122"/>
    <s v="Recovery"/>
    <n v="200"/>
    <s v="AHY"/>
    <s v="M"/>
    <n v="9"/>
    <n v="2019"/>
    <n v="2019"/>
    <n v="15"/>
    <x v="0"/>
    <s v="15B"/>
    <x v="11"/>
    <n v="1"/>
    <n v="7"/>
    <x v="0"/>
    <x v="0"/>
  </r>
  <r>
    <n v="12871"/>
    <n v="116863129"/>
    <s v="Recovery"/>
    <n v="200"/>
    <s v="AHY"/>
    <s v="F"/>
    <n v="12"/>
    <n v="2018"/>
    <n v="2018"/>
    <n v="14"/>
    <x v="0"/>
    <s v="14B"/>
    <x v="10"/>
    <n v="1"/>
    <n v="7"/>
    <x v="0"/>
    <x v="0"/>
  </r>
  <r>
    <n v="12880"/>
    <n v="116863138"/>
    <s v="Recovery"/>
    <n v="200"/>
    <s v="AHY"/>
    <s v="F"/>
    <n v="12"/>
    <n v="2016"/>
    <n v="2016"/>
    <n v="12"/>
    <x v="0"/>
    <s v="12B"/>
    <x v="12"/>
    <n v="1"/>
    <n v="7"/>
    <x v="0"/>
    <x v="0"/>
  </r>
  <r>
    <n v="12882"/>
    <n v="116863140"/>
    <s v="Recovery"/>
    <n v="200"/>
    <s v="AHY"/>
    <s v="M"/>
    <n v="9"/>
    <n v="2016"/>
    <n v="2016"/>
    <n v="12"/>
    <x v="0"/>
    <s v="12B"/>
    <x v="12"/>
    <n v="1"/>
    <n v="7"/>
    <x v="0"/>
    <x v="0"/>
  </r>
  <r>
    <n v="12883"/>
    <n v="116863141"/>
    <s v="Recovery"/>
    <n v="200"/>
    <s v="AHY"/>
    <s v="F"/>
    <n v="9"/>
    <n v="2019"/>
    <n v="2019"/>
    <n v="15"/>
    <x v="0"/>
    <s v="15B"/>
    <x v="11"/>
    <n v="1"/>
    <n v="7"/>
    <x v="0"/>
    <x v="0"/>
  </r>
  <r>
    <n v="12887"/>
    <n v="116863145"/>
    <s v="Recovery"/>
    <n v="200"/>
    <s v="AHY"/>
    <s v="F"/>
    <n v="9"/>
    <n v="2019"/>
    <n v="2019"/>
    <n v="15"/>
    <x v="0"/>
    <s v="15B"/>
    <x v="11"/>
    <n v="1"/>
    <n v="7"/>
    <x v="0"/>
    <x v="0"/>
  </r>
  <r>
    <n v="12889"/>
    <n v="116863147"/>
    <s v="Recovery"/>
    <n v="200"/>
    <s v="AHY"/>
    <s v="M"/>
    <n v="9"/>
    <n v="2020"/>
    <n v="2020"/>
    <n v="16"/>
    <x v="0"/>
    <s v="16B"/>
    <x v="15"/>
    <n v="1"/>
    <n v="7"/>
    <x v="0"/>
    <x v="0"/>
  </r>
  <r>
    <n v="12891"/>
    <n v="116863149"/>
    <s v="Recovery"/>
    <n v="200"/>
    <s v="AHY"/>
    <s v="F"/>
    <n v="9"/>
    <n v="2016"/>
    <n v="2016"/>
    <n v="12"/>
    <x v="0"/>
    <s v="12B"/>
    <x v="12"/>
    <n v="1"/>
    <n v="7"/>
    <x v="0"/>
    <x v="0"/>
  </r>
  <r>
    <n v="12895"/>
    <n v="116863153"/>
    <s v="Recovery"/>
    <n v="200"/>
    <s v="AHY"/>
    <s v="M"/>
    <n v="9"/>
    <n v="2016"/>
    <n v="2016"/>
    <n v="12"/>
    <x v="0"/>
    <s v="12B"/>
    <x v="12"/>
    <n v="1"/>
    <n v="7"/>
    <x v="0"/>
    <x v="0"/>
  </r>
  <r>
    <n v="12899"/>
    <n v="116863157"/>
    <s v="Recovery"/>
    <n v="200"/>
    <s v="AHY"/>
    <s v="M"/>
    <n v="11"/>
    <n v="2015"/>
    <n v="2015"/>
    <n v="11"/>
    <x v="0"/>
    <s v="11B"/>
    <x v="14"/>
    <n v="1"/>
    <n v="7"/>
    <x v="0"/>
    <x v="0"/>
  </r>
  <r>
    <n v="12901"/>
    <n v="116863159"/>
    <s v="Recovery"/>
    <n v="200"/>
    <s v="AHY"/>
    <s v="F"/>
    <n v="9"/>
    <n v="2016"/>
    <n v="2016"/>
    <n v="12"/>
    <x v="0"/>
    <s v="12B"/>
    <x v="12"/>
    <n v="1"/>
    <n v="7"/>
    <x v="0"/>
    <x v="0"/>
  </r>
  <r>
    <n v="12902"/>
    <n v="116863160"/>
    <s v="Recovery"/>
    <n v="200"/>
    <s v="AHY"/>
    <s v="M"/>
    <n v="9"/>
    <n v="2016"/>
    <n v="2016"/>
    <n v="12"/>
    <x v="0"/>
    <s v="12B"/>
    <x v="12"/>
    <n v="1"/>
    <n v="7"/>
    <x v="0"/>
    <x v="0"/>
  </r>
  <r>
    <n v="12903"/>
    <n v="116863161"/>
    <s v="Recovery"/>
    <n v="200"/>
    <s v="AHY"/>
    <s v="M"/>
    <n v="1"/>
    <n v="2017"/>
    <n v="2016"/>
    <n v="12"/>
    <x v="0"/>
    <s v="12B"/>
    <x v="12"/>
    <n v="1"/>
    <n v="7"/>
    <x v="0"/>
    <x v="0"/>
  </r>
  <r>
    <n v="12904"/>
    <n v="116863162"/>
    <s v="Recovery"/>
    <n v="200"/>
    <s v="AHY"/>
    <s v="F"/>
    <n v="9"/>
    <n v="2020"/>
    <n v="2020"/>
    <n v="16"/>
    <x v="0"/>
    <s v="16B"/>
    <x v="15"/>
    <n v="1"/>
    <n v="7"/>
    <x v="0"/>
    <x v="0"/>
  </r>
  <r>
    <n v="12905"/>
    <n v="116863163"/>
    <s v="Recovery"/>
    <n v="200"/>
    <s v="HY"/>
    <s v="F"/>
    <n v="9"/>
    <n v="2015"/>
    <n v="2015"/>
    <n v="11"/>
    <x v="0"/>
    <s v="11B"/>
    <x v="14"/>
    <n v="1"/>
    <n v="7"/>
    <x v="0"/>
    <x v="0"/>
  </r>
  <r>
    <n v="12906"/>
    <n v="116863164"/>
    <s v="Recovery"/>
    <n v="200"/>
    <s v="AHY"/>
    <s v="M"/>
    <n v="9"/>
    <n v="2016"/>
    <n v="2016"/>
    <n v="12"/>
    <x v="0"/>
    <s v="12B"/>
    <x v="12"/>
    <n v="1"/>
    <n v="7"/>
    <x v="0"/>
    <x v="0"/>
  </r>
  <r>
    <n v="12909"/>
    <n v="116863167"/>
    <s v="Recovery"/>
    <n v="200"/>
    <s v="HY"/>
    <s v="M"/>
    <n v="9"/>
    <n v="2015"/>
    <n v="2015"/>
    <n v="11"/>
    <x v="0"/>
    <s v="11B"/>
    <x v="14"/>
    <n v="1"/>
    <n v="7"/>
    <x v="0"/>
    <x v="0"/>
  </r>
  <r>
    <n v="12910"/>
    <n v="116863168"/>
    <s v="Recovery"/>
    <n v="200"/>
    <s v="HY"/>
    <s v="M"/>
    <n v="9"/>
    <n v="2015"/>
    <n v="2015"/>
    <n v="11"/>
    <x v="0"/>
    <s v="11B"/>
    <x v="14"/>
    <n v="1"/>
    <n v="7"/>
    <x v="0"/>
    <x v="0"/>
  </r>
  <r>
    <n v="12914"/>
    <n v="116863172"/>
    <s v="Recovery"/>
    <n v="200"/>
    <s v="HY"/>
    <s v="F"/>
    <n v="9"/>
    <n v="2015"/>
    <n v="2015"/>
    <n v="11"/>
    <x v="0"/>
    <s v="11B"/>
    <x v="14"/>
    <n v="1"/>
    <n v="7"/>
    <x v="0"/>
    <x v="0"/>
  </r>
  <r>
    <n v="12916"/>
    <n v="116863174"/>
    <s v="Recovery"/>
    <n v="200"/>
    <s v="HY"/>
    <s v="F"/>
    <n v="9"/>
    <n v="2015"/>
    <n v="2015"/>
    <n v="11"/>
    <x v="0"/>
    <s v="11B"/>
    <x v="14"/>
    <n v="1"/>
    <n v="7"/>
    <x v="0"/>
    <x v="0"/>
  </r>
  <r>
    <n v="12918"/>
    <n v="116863176"/>
    <s v="Recovery"/>
    <n v="200"/>
    <s v="AHY"/>
    <s v="F"/>
    <n v="1"/>
    <n v="2018"/>
    <n v="2017"/>
    <n v="13"/>
    <x v="0"/>
    <s v="13B"/>
    <x v="13"/>
    <n v="1"/>
    <n v="7"/>
    <x v="0"/>
    <x v="0"/>
  </r>
  <r>
    <n v="12920"/>
    <n v="116863178"/>
    <s v="Recovery"/>
    <n v="200"/>
    <s v="AHY"/>
    <s v="M"/>
    <n v="9"/>
    <n v="2018"/>
    <n v="2018"/>
    <n v="14"/>
    <x v="0"/>
    <s v="14B"/>
    <x v="10"/>
    <n v="1"/>
    <n v="7"/>
    <x v="0"/>
    <x v="0"/>
  </r>
  <r>
    <n v="12923"/>
    <n v="116863181"/>
    <s v="Recovery"/>
    <n v="200"/>
    <s v="AHY"/>
    <s v="M"/>
    <n v="1"/>
    <n v="2020"/>
    <n v="2019"/>
    <n v="15"/>
    <x v="0"/>
    <s v="15B"/>
    <x v="11"/>
    <n v="1"/>
    <n v="7"/>
    <x v="0"/>
    <x v="0"/>
  </r>
  <r>
    <n v="12927"/>
    <n v="116863185"/>
    <s v="Recovery"/>
    <n v="200"/>
    <s v="AHY"/>
    <s v="F"/>
    <n v="1"/>
    <n v="2017"/>
    <n v="2016"/>
    <n v="12"/>
    <x v="0"/>
    <s v="12B"/>
    <x v="12"/>
    <n v="1"/>
    <n v="7"/>
    <x v="0"/>
    <x v="0"/>
  </r>
  <r>
    <n v="12930"/>
    <n v="116863188"/>
    <s v="Recovery"/>
    <n v="200"/>
    <s v="AHY"/>
    <s v="M"/>
    <n v="9"/>
    <n v="2018"/>
    <n v="2018"/>
    <n v="14"/>
    <x v="0"/>
    <s v="14B"/>
    <x v="10"/>
    <n v="1"/>
    <n v="7"/>
    <x v="0"/>
    <x v="0"/>
  </r>
  <r>
    <n v="12933"/>
    <n v="116863191"/>
    <s v="Recovery"/>
    <n v="200"/>
    <s v="AHY"/>
    <s v="M"/>
    <n v="1"/>
    <n v="2018"/>
    <n v="2017"/>
    <n v="13"/>
    <x v="0"/>
    <s v="13B"/>
    <x v="13"/>
    <n v="1"/>
    <n v="7"/>
    <x v="0"/>
    <x v="0"/>
  </r>
  <r>
    <n v="12938"/>
    <n v="116863196"/>
    <s v="Recovery"/>
    <n v="200"/>
    <s v="AHY"/>
    <s v="M"/>
    <n v="1"/>
    <n v="2016"/>
    <n v="2015"/>
    <n v="11"/>
    <x v="0"/>
    <s v="11B"/>
    <x v="14"/>
    <n v="1"/>
    <n v="7"/>
    <x v="0"/>
    <x v="0"/>
  </r>
  <r>
    <n v="12940"/>
    <n v="116863198"/>
    <s v="Recovery"/>
    <n v="200"/>
    <s v="AHY"/>
    <s v="F"/>
    <n v="11"/>
    <n v="2015"/>
    <n v="2015"/>
    <n v="11"/>
    <x v="0"/>
    <s v="11B"/>
    <x v="14"/>
    <n v="1"/>
    <n v="7"/>
    <x v="0"/>
    <x v="0"/>
  </r>
  <r>
    <n v="12945"/>
    <n v="116863203"/>
    <s v="Recovery"/>
    <n v="200"/>
    <s v="AHY"/>
    <s v="F"/>
    <n v="1"/>
    <n v="2017"/>
    <n v="2016"/>
    <n v="12"/>
    <x v="0"/>
    <s v="12B"/>
    <x v="12"/>
    <n v="1"/>
    <n v="7"/>
    <x v="0"/>
    <x v="0"/>
  </r>
  <r>
    <n v="12947"/>
    <n v="116863205"/>
    <s v="Recovery"/>
    <n v="200"/>
    <s v="AHY"/>
    <s v="F"/>
    <n v="12"/>
    <n v="2016"/>
    <n v="2016"/>
    <n v="12"/>
    <x v="0"/>
    <s v="12B"/>
    <x v="12"/>
    <n v="1"/>
    <n v="7"/>
    <x v="0"/>
    <x v="0"/>
  </r>
  <r>
    <n v="12948"/>
    <n v="116863206"/>
    <s v="Recovery"/>
    <n v="200"/>
    <s v="AHY"/>
    <s v="F"/>
    <n v="12"/>
    <n v="2016"/>
    <n v="2016"/>
    <n v="12"/>
    <x v="0"/>
    <s v="12B"/>
    <x v="12"/>
    <n v="1"/>
    <n v="7"/>
    <x v="0"/>
    <x v="0"/>
  </r>
  <r>
    <n v="12949"/>
    <n v="116863207"/>
    <s v="Recovery"/>
    <n v="200"/>
    <s v="AHY"/>
    <s v="F"/>
    <n v="12"/>
    <n v="2019"/>
    <n v="2019"/>
    <n v="15"/>
    <x v="0"/>
    <s v="15B"/>
    <x v="11"/>
    <n v="1"/>
    <n v="7"/>
    <x v="0"/>
    <x v="0"/>
  </r>
  <r>
    <n v="12953"/>
    <n v="116863211"/>
    <s v="Recovery"/>
    <n v="200"/>
    <s v="AHY"/>
    <s v="F"/>
    <n v="9"/>
    <n v="2016"/>
    <n v="2016"/>
    <n v="12"/>
    <x v="0"/>
    <s v="12B"/>
    <x v="12"/>
    <n v="1"/>
    <n v="7"/>
    <x v="0"/>
    <x v="0"/>
  </r>
  <r>
    <n v="12969"/>
    <n v="116863227"/>
    <s v="Recovery"/>
    <n v="200"/>
    <s v="AHY"/>
    <s v="F"/>
    <n v="1"/>
    <n v="2020"/>
    <n v="2019"/>
    <n v="15"/>
    <x v="0"/>
    <s v="15B"/>
    <x v="11"/>
    <n v="1"/>
    <n v="7"/>
    <x v="0"/>
    <x v="0"/>
  </r>
  <r>
    <n v="12981"/>
    <n v="116863239"/>
    <s v="Recovery"/>
    <n v="200"/>
    <s v="AHY"/>
    <s v="M"/>
    <n v="12"/>
    <n v="2019"/>
    <n v="2019"/>
    <n v="15"/>
    <x v="0"/>
    <s v="15B"/>
    <x v="11"/>
    <n v="1"/>
    <n v="7"/>
    <x v="0"/>
    <x v="0"/>
  </r>
  <r>
    <n v="12984"/>
    <n v="116863242"/>
    <s v="Recovery"/>
    <n v="200"/>
    <s v="AHY"/>
    <s v="F"/>
    <n v="11"/>
    <n v="2017"/>
    <n v="2017"/>
    <n v="13"/>
    <x v="0"/>
    <s v="13B"/>
    <x v="13"/>
    <n v="1"/>
    <n v="7"/>
    <x v="0"/>
    <x v="0"/>
  </r>
  <r>
    <n v="12997"/>
    <n v="116863255"/>
    <s v="Recovery"/>
    <n v="200"/>
    <s v="AHY"/>
    <s v="M"/>
    <n v="12"/>
    <n v="2020"/>
    <n v="2020"/>
    <n v="16"/>
    <x v="0"/>
    <s v="16B"/>
    <x v="15"/>
    <n v="1"/>
    <n v="7"/>
    <x v="0"/>
    <x v="0"/>
  </r>
  <r>
    <n v="13003"/>
    <n v="116863261"/>
    <s v="Recovery"/>
    <n v="200"/>
    <s v="AHY"/>
    <s v="F"/>
    <n v="1"/>
    <n v="2017"/>
    <n v="2016"/>
    <n v="12"/>
    <x v="0"/>
    <s v="12B"/>
    <x v="12"/>
    <n v="1"/>
    <n v="7"/>
    <x v="0"/>
    <x v="0"/>
  </r>
  <r>
    <n v="13008"/>
    <n v="116863266"/>
    <s v="Recovery"/>
    <n v="200"/>
    <s v="AHY"/>
    <s v="F"/>
    <n v="10"/>
    <n v="2016"/>
    <n v="2016"/>
    <n v="12"/>
    <x v="0"/>
    <s v="12B"/>
    <x v="12"/>
    <n v="1"/>
    <n v="34"/>
    <x v="9"/>
    <x v="1"/>
  </r>
  <r>
    <n v="13011"/>
    <n v="116863269"/>
    <s v="Recovery"/>
    <n v="200"/>
    <s v="AHY"/>
    <s v="M"/>
    <n v="1"/>
    <n v="2020"/>
    <n v="2019"/>
    <n v="15"/>
    <x v="0"/>
    <s v="15B"/>
    <x v="11"/>
    <n v="1"/>
    <n v="7"/>
    <x v="0"/>
    <x v="0"/>
  </r>
  <r>
    <n v="13015"/>
    <n v="116863273"/>
    <s v="Recovery"/>
    <n v="200"/>
    <s v="AHY"/>
    <s v="F"/>
    <n v="1"/>
    <n v="2018"/>
    <n v="2017"/>
    <n v="13"/>
    <x v="0"/>
    <s v="13B"/>
    <x v="13"/>
    <n v="1"/>
    <n v="7"/>
    <x v="0"/>
    <x v="0"/>
  </r>
  <r>
    <n v="13016"/>
    <n v="116863274"/>
    <s v="Recovery"/>
    <n v="200"/>
    <s v="AHY"/>
    <s v="F"/>
    <n v="12"/>
    <n v="2020"/>
    <n v="2020"/>
    <n v="16"/>
    <x v="0"/>
    <s v="16B"/>
    <x v="15"/>
    <n v="1"/>
    <n v="7"/>
    <x v="0"/>
    <x v="0"/>
  </r>
  <r>
    <n v="13019"/>
    <n v="116863277"/>
    <s v="Recovery"/>
    <n v="200"/>
    <s v="AHY"/>
    <s v="M"/>
    <n v="11"/>
    <n v="2015"/>
    <n v="2015"/>
    <n v="11"/>
    <x v="0"/>
    <s v="11B"/>
    <x v="14"/>
    <n v="1"/>
    <n v="7"/>
    <x v="0"/>
    <x v="0"/>
  </r>
  <r>
    <n v="13022"/>
    <n v="116863280"/>
    <s v="Recovery"/>
    <n v="200"/>
    <s v="AHY"/>
    <s v="M"/>
    <n v="1"/>
    <n v="2016"/>
    <n v="2015"/>
    <n v="11"/>
    <x v="0"/>
    <s v="11B"/>
    <x v="14"/>
    <n v="1"/>
    <n v="7"/>
    <x v="0"/>
    <x v="0"/>
  </r>
  <r>
    <n v="13034"/>
    <n v="116863292"/>
    <s v="Recovery"/>
    <n v="200"/>
    <s v="AHY"/>
    <s v="M"/>
    <n v="1"/>
    <n v="2018"/>
    <n v="2017"/>
    <n v="13"/>
    <x v="0"/>
    <s v="13B"/>
    <x v="13"/>
    <n v="1"/>
    <n v="7"/>
    <x v="0"/>
    <x v="0"/>
  </r>
  <r>
    <n v="13041"/>
    <n v="116863299"/>
    <s v="Recovery"/>
    <n v="200"/>
    <s v="AHY"/>
    <s v="M"/>
    <n v="1"/>
    <n v="2018"/>
    <n v="2017"/>
    <n v="13"/>
    <x v="0"/>
    <s v="13B"/>
    <x v="13"/>
    <n v="1"/>
    <n v="7"/>
    <x v="0"/>
    <x v="0"/>
  </r>
  <r>
    <n v="13048"/>
    <n v="116863306"/>
    <s v="Recovery"/>
    <n v="200"/>
    <s v="AHY"/>
    <s v="F"/>
    <n v="11"/>
    <n v="2016"/>
    <n v="2016"/>
    <n v="12"/>
    <x v="0"/>
    <s v="12B"/>
    <x v="12"/>
    <n v="1"/>
    <n v="7"/>
    <x v="0"/>
    <x v="0"/>
  </r>
  <r>
    <n v="13053"/>
    <n v="116863311"/>
    <s v="Recovery"/>
    <n v="200"/>
    <s v="AHY"/>
    <s v="F"/>
    <n v="1"/>
    <n v="2016"/>
    <n v="2015"/>
    <n v="11"/>
    <x v="0"/>
    <s v="11B"/>
    <x v="14"/>
    <n v="1"/>
    <n v="7"/>
    <x v="0"/>
    <x v="0"/>
  </r>
  <r>
    <n v="13054"/>
    <n v="116863312"/>
    <s v="Recovery"/>
    <n v="200"/>
    <s v="AHY"/>
    <s v="F"/>
    <n v="1"/>
    <n v="2019"/>
    <n v="2018"/>
    <n v="14"/>
    <x v="0"/>
    <s v="14B"/>
    <x v="10"/>
    <n v="1"/>
    <n v="7"/>
    <x v="0"/>
    <x v="0"/>
  </r>
  <r>
    <n v="13058"/>
    <n v="116863316"/>
    <s v="Recovery"/>
    <n v="200"/>
    <s v="AHY"/>
    <s v="F"/>
    <n v="12"/>
    <n v="2017"/>
    <n v="2017"/>
    <n v="13"/>
    <x v="0"/>
    <s v="13B"/>
    <x v="13"/>
    <n v="1"/>
    <n v="7"/>
    <x v="0"/>
    <x v="0"/>
  </r>
  <r>
    <n v="13062"/>
    <n v="116863320"/>
    <s v="Recovery"/>
    <n v="200"/>
    <s v="AHY"/>
    <s v="F"/>
    <n v="1"/>
    <n v="2018"/>
    <n v="2017"/>
    <n v="13"/>
    <x v="0"/>
    <s v="13B"/>
    <x v="13"/>
    <n v="1"/>
    <n v="7"/>
    <x v="0"/>
    <x v="0"/>
  </r>
  <r>
    <n v="13064"/>
    <n v="116863322"/>
    <s v="Recovery"/>
    <n v="200"/>
    <s v="AHY"/>
    <s v="F"/>
    <n v="12"/>
    <n v="2015"/>
    <n v="2015"/>
    <n v="11"/>
    <x v="0"/>
    <s v="11B"/>
    <x v="14"/>
    <n v="1"/>
    <n v="7"/>
    <x v="0"/>
    <x v="0"/>
  </r>
  <r>
    <n v="13068"/>
    <n v="116863326"/>
    <s v="Recovery"/>
    <n v="200"/>
    <s v="AHY"/>
    <s v="F"/>
    <n v="1"/>
    <n v="2016"/>
    <n v="2015"/>
    <n v="11"/>
    <x v="0"/>
    <s v="11B"/>
    <x v="14"/>
    <n v="1"/>
    <n v="7"/>
    <x v="0"/>
    <x v="0"/>
  </r>
  <r>
    <n v="13070"/>
    <n v="116863328"/>
    <s v="Recovery"/>
    <n v="200"/>
    <s v="AHY"/>
    <s v="F"/>
    <n v="1"/>
    <n v="2016"/>
    <n v="2015"/>
    <n v="11"/>
    <x v="0"/>
    <s v="11B"/>
    <x v="14"/>
    <n v="1"/>
    <n v="7"/>
    <x v="0"/>
    <x v="0"/>
  </r>
  <r>
    <n v="13073"/>
    <n v="116863331"/>
    <s v="Recovery"/>
    <n v="200"/>
    <s v="AHY"/>
    <s v="M"/>
    <n v="1"/>
    <n v="2017"/>
    <n v="2016"/>
    <n v="12"/>
    <x v="0"/>
    <s v="12B"/>
    <x v="12"/>
    <n v="1"/>
    <n v="7"/>
    <x v="0"/>
    <x v="0"/>
  </r>
  <r>
    <n v="13077"/>
    <n v="116863335"/>
    <s v="Recovery"/>
    <n v="200"/>
    <s v="AHY"/>
    <s v="F"/>
    <n v="1"/>
    <n v="2016"/>
    <n v="2015"/>
    <n v="11"/>
    <x v="0"/>
    <s v="11B"/>
    <x v="14"/>
    <n v="1"/>
    <n v="7"/>
    <x v="0"/>
    <x v="0"/>
  </r>
  <r>
    <n v="13082"/>
    <n v="116863340"/>
    <s v="Recovery"/>
    <n v="200"/>
    <s v="AHY"/>
    <s v="M"/>
    <n v="12"/>
    <n v="2015"/>
    <n v="2015"/>
    <n v="11"/>
    <x v="0"/>
    <s v="11B"/>
    <x v="14"/>
    <n v="1"/>
    <n v="7"/>
    <x v="0"/>
    <x v="0"/>
  </r>
  <r>
    <n v="13083"/>
    <n v="116863341"/>
    <s v="Recovery"/>
    <n v="200"/>
    <s v="AHY"/>
    <s v="F"/>
    <n v="12"/>
    <n v="2015"/>
    <n v="2015"/>
    <n v="11"/>
    <x v="0"/>
    <s v="11B"/>
    <x v="14"/>
    <n v="1"/>
    <n v="7"/>
    <x v="0"/>
    <x v="0"/>
  </r>
  <r>
    <n v="13084"/>
    <n v="116863342"/>
    <s v="Recovery"/>
    <n v="200"/>
    <s v="AHY"/>
    <s v="F"/>
    <n v="1"/>
    <n v="2018"/>
    <n v="2017"/>
    <n v="13"/>
    <x v="0"/>
    <s v="13B"/>
    <x v="13"/>
    <n v="1"/>
    <n v="7"/>
    <x v="0"/>
    <x v="0"/>
  </r>
  <r>
    <n v="13085"/>
    <n v="116863343"/>
    <s v="Recovery"/>
    <n v="200"/>
    <s v="AHY"/>
    <s v="M"/>
    <n v="9"/>
    <n v="2015"/>
    <n v="2015"/>
    <n v="11"/>
    <x v="0"/>
    <s v="11B"/>
    <x v="14"/>
    <n v="1"/>
    <n v="7"/>
    <x v="0"/>
    <x v="0"/>
  </r>
  <r>
    <n v="13090"/>
    <n v="116863348"/>
    <s v="Recovery"/>
    <n v="200"/>
    <s v="AHY"/>
    <s v="F"/>
    <n v="9"/>
    <n v="2016"/>
    <n v="2016"/>
    <n v="12"/>
    <x v="0"/>
    <s v="12B"/>
    <x v="12"/>
    <n v="1"/>
    <n v="7"/>
    <x v="0"/>
    <x v="0"/>
  </r>
  <r>
    <n v="13096"/>
    <n v="116863354"/>
    <s v="Recovery"/>
    <n v="200"/>
    <s v="AHY"/>
    <s v="F"/>
    <n v="1"/>
    <n v="2018"/>
    <n v="2017"/>
    <n v="13"/>
    <x v="0"/>
    <s v="13B"/>
    <x v="13"/>
    <n v="1"/>
    <n v="7"/>
    <x v="0"/>
    <x v="0"/>
  </r>
  <r>
    <n v="13104"/>
    <n v="116863362"/>
    <s v="Recovery"/>
    <n v="200"/>
    <s v="AHY"/>
    <s v="M"/>
    <n v="1"/>
    <n v="2018"/>
    <n v="2017"/>
    <n v="13"/>
    <x v="0"/>
    <s v="13B"/>
    <x v="13"/>
    <n v="1"/>
    <n v="7"/>
    <x v="0"/>
    <x v="0"/>
  </r>
  <r>
    <n v="13105"/>
    <n v="116863363"/>
    <s v="Recovery"/>
    <n v="200"/>
    <s v="AHY"/>
    <s v="M"/>
    <n v="11"/>
    <n v="2017"/>
    <n v="2017"/>
    <n v="13"/>
    <x v="0"/>
    <s v="13B"/>
    <x v="13"/>
    <n v="1"/>
    <n v="7"/>
    <x v="0"/>
    <x v="0"/>
  </r>
  <r>
    <n v="13106"/>
    <n v="116863364"/>
    <s v="Recovery"/>
    <n v="200"/>
    <s v="AHY"/>
    <s v="F"/>
    <n v="1"/>
    <n v="2016"/>
    <n v="2015"/>
    <n v="11"/>
    <x v="0"/>
    <s v="11B"/>
    <x v="14"/>
    <n v="1"/>
    <n v="7"/>
    <x v="0"/>
    <x v="0"/>
  </r>
  <r>
    <n v="13109"/>
    <n v="116863367"/>
    <s v="Recovery"/>
    <n v="200"/>
    <s v="AHY"/>
    <s v="M"/>
    <n v="1"/>
    <n v="2018"/>
    <n v="2017"/>
    <n v="13"/>
    <x v="0"/>
    <s v="13B"/>
    <x v="13"/>
    <n v="1"/>
    <n v="7"/>
    <x v="0"/>
    <x v="0"/>
  </r>
  <r>
    <n v="13111"/>
    <n v="116863369"/>
    <s v="Recovery"/>
    <n v="200"/>
    <s v="AHY"/>
    <s v="M"/>
    <n v="12"/>
    <n v="2017"/>
    <n v="2017"/>
    <n v="13"/>
    <x v="0"/>
    <s v="13B"/>
    <x v="13"/>
    <n v="1"/>
    <n v="7"/>
    <x v="0"/>
    <x v="0"/>
  </r>
  <r>
    <n v="13116"/>
    <n v="116863374"/>
    <s v="Recovery"/>
    <n v="200"/>
    <s v="AHY"/>
    <s v="M"/>
    <n v="9"/>
    <n v="2015"/>
    <n v="2015"/>
    <n v="11"/>
    <x v="0"/>
    <s v="11B"/>
    <x v="14"/>
    <n v="1"/>
    <n v="7"/>
    <x v="0"/>
    <x v="0"/>
  </r>
  <r>
    <n v="13120"/>
    <n v="116863378"/>
    <s v="Recovery"/>
    <n v="200"/>
    <s v="AHY"/>
    <s v="F"/>
    <n v="9"/>
    <n v="2019"/>
    <n v="2019"/>
    <n v="15"/>
    <x v="0"/>
    <s v="15B"/>
    <x v="11"/>
    <n v="1"/>
    <n v="7"/>
    <x v="0"/>
    <x v="0"/>
  </r>
  <r>
    <n v="13121"/>
    <n v="116863379"/>
    <s v="Recovery"/>
    <n v="200"/>
    <s v="AHY"/>
    <s v="F"/>
    <n v="1"/>
    <n v="2018"/>
    <n v="2017"/>
    <n v="13"/>
    <x v="0"/>
    <s v="13B"/>
    <x v="13"/>
    <n v="1"/>
    <n v="7"/>
    <x v="0"/>
    <x v="0"/>
  </r>
  <r>
    <n v="13129"/>
    <n v="116863387"/>
    <s v="Recovery"/>
    <n v="200"/>
    <s v="AHY"/>
    <s v="M"/>
    <n v="12"/>
    <n v="2015"/>
    <n v="2015"/>
    <n v="11"/>
    <x v="0"/>
    <s v="11B"/>
    <x v="14"/>
    <n v="1"/>
    <n v="7"/>
    <x v="0"/>
    <x v="0"/>
  </r>
  <r>
    <n v="13131"/>
    <n v="116863389"/>
    <s v="Recovery"/>
    <n v="200"/>
    <s v="AHY"/>
    <s v="F"/>
    <n v="1"/>
    <n v="2016"/>
    <n v="2015"/>
    <n v="11"/>
    <x v="0"/>
    <s v="11B"/>
    <x v="14"/>
    <n v="1"/>
    <n v="7"/>
    <x v="0"/>
    <x v="0"/>
  </r>
  <r>
    <n v="13135"/>
    <n v="116863393"/>
    <s v="Recovery"/>
    <n v="200"/>
    <s v="AHY"/>
    <s v="M"/>
    <n v="1"/>
    <n v="2017"/>
    <n v="2016"/>
    <n v="12"/>
    <x v="0"/>
    <s v="12B"/>
    <x v="12"/>
    <n v="1"/>
    <n v="7"/>
    <x v="0"/>
    <x v="0"/>
  </r>
  <r>
    <n v="13137"/>
    <n v="116863395"/>
    <s v="Recovery"/>
    <n v="200"/>
    <s v="AHY"/>
    <s v="M"/>
    <n v="2"/>
    <n v="2016"/>
    <n v="2015"/>
    <n v="11"/>
    <x v="0"/>
    <s v="11B"/>
    <x v="14"/>
    <n v="1"/>
    <n v="7"/>
    <x v="0"/>
    <x v="0"/>
  </r>
  <r>
    <n v="13142"/>
    <n v="116863400"/>
    <s v="Recovery"/>
    <n v="200"/>
    <s v="AHY"/>
    <s v="M"/>
    <n v="12"/>
    <n v="2015"/>
    <n v="2015"/>
    <n v="11"/>
    <x v="0"/>
    <s v="11B"/>
    <x v="14"/>
    <n v="1"/>
    <n v="7"/>
    <x v="0"/>
    <x v="0"/>
  </r>
  <r>
    <n v="13153"/>
    <n v="116863411"/>
    <s v="Recovery"/>
    <n v="200"/>
    <s v="AHY"/>
    <s v="M"/>
    <n v="9"/>
    <n v="2017"/>
    <n v="2017"/>
    <n v="13"/>
    <x v="0"/>
    <s v="13B"/>
    <x v="13"/>
    <n v="1"/>
    <n v="7"/>
    <x v="0"/>
    <x v="0"/>
  </r>
  <r>
    <n v="13154"/>
    <n v="116863412"/>
    <s v="Recovery"/>
    <n v="200"/>
    <s v="AHY"/>
    <s v="M"/>
    <n v="1"/>
    <n v="2017"/>
    <n v="2016"/>
    <n v="12"/>
    <x v="0"/>
    <s v="12B"/>
    <x v="12"/>
    <n v="1"/>
    <n v="7"/>
    <x v="0"/>
    <x v="0"/>
  </r>
  <r>
    <n v="13155"/>
    <n v="116863413"/>
    <s v="Recovery"/>
    <n v="200"/>
    <s v="AHY"/>
    <s v="M"/>
    <n v="1"/>
    <n v="2016"/>
    <n v="2015"/>
    <n v="11"/>
    <x v="0"/>
    <s v="11B"/>
    <x v="14"/>
    <n v="1"/>
    <n v="7"/>
    <x v="0"/>
    <x v="0"/>
  </r>
  <r>
    <n v="13160"/>
    <n v="116863418"/>
    <s v="Recovery"/>
    <n v="200"/>
    <s v="AHY"/>
    <s v="M"/>
    <n v="1"/>
    <n v="2017"/>
    <n v="2016"/>
    <n v="12"/>
    <x v="0"/>
    <s v="12B"/>
    <x v="12"/>
    <n v="1"/>
    <n v="7"/>
    <x v="0"/>
    <x v="0"/>
  </r>
  <r>
    <n v="13165"/>
    <n v="116863423"/>
    <s v="Recovery"/>
    <n v="200"/>
    <s v="AHY"/>
    <s v="F"/>
    <n v="11"/>
    <n v="2018"/>
    <n v="2018"/>
    <n v="14"/>
    <x v="0"/>
    <s v="14B"/>
    <x v="10"/>
    <n v="1"/>
    <n v="7"/>
    <x v="0"/>
    <x v="0"/>
  </r>
  <r>
    <n v="13173"/>
    <n v="116863431"/>
    <s v="Recovery"/>
    <n v="200"/>
    <s v="AHY"/>
    <s v="F"/>
    <n v="9"/>
    <n v="2015"/>
    <n v="2015"/>
    <n v="11"/>
    <x v="0"/>
    <s v="11B"/>
    <x v="14"/>
    <n v="1"/>
    <n v="7"/>
    <x v="0"/>
    <x v="0"/>
  </r>
  <r>
    <n v="13176"/>
    <n v="116863434"/>
    <s v="Recovery"/>
    <n v="200"/>
    <s v="AHY"/>
    <s v="F"/>
    <n v="1"/>
    <n v="2019"/>
    <n v="2018"/>
    <n v="14"/>
    <x v="0"/>
    <s v="14B"/>
    <x v="10"/>
    <n v="1"/>
    <n v="7"/>
    <x v="0"/>
    <x v="0"/>
  </r>
  <r>
    <n v="13190"/>
    <n v="116863448"/>
    <s v="Recovery"/>
    <n v="200"/>
    <s v="AHY"/>
    <s v="M"/>
    <n v="1"/>
    <n v="2016"/>
    <n v="2015"/>
    <n v="11"/>
    <x v="0"/>
    <s v="11B"/>
    <x v="14"/>
    <n v="1"/>
    <n v="7"/>
    <x v="0"/>
    <x v="0"/>
  </r>
  <r>
    <n v="13192"/>
    <n v="116863450"/>
    <s v="Recovery"/>
    <n v="200"/>
    <s v="AHY"/>
    <s v="F"/>
    <n v="9"/>
    <n v="2018"/>
    <n v="2018"/>
    <n v="14"/>
    <x v="0"/>
    <s v="14B"/>
    <x v="10"/>
    <n v="1"/>
    <n v="7"/>
    <x v="0"/>
    <x v="0"/>
  </r>
  <r>
    <n v="13200"/>
    <n v="116863458"/>
    <s v="Recovery"/>
    <n v="200"/>
    <s v="AHY"/>
    <s v="M"/>
    <n v="9"/>
    <n v="2017"/>
    <n v="2017"/>
    <n v="13"/>
    <x v="0"/>
    <s v="13B"/>
    <x v="13"/>
    <n v="1"/>
    <n v="7"/>
    <x v="0"/>
    <x v="0"/>
  </r>
  <r>
    <n v="13205"/>
    <n v="116863463"/>
    <s v="Recovery"/>
    <n v="200"/>
    <s v="AHY"/>
    <s v="M"/>
    <n v="1"/>
    <n v="2018"/>
    <n v="2017"/>
    <n v="13"/>
    <x v="0"/>
    <s v="13B"/>
    <x v="13"/>
    <n v="1"/>
    <n v="7"/>
    <x v="0"/>
    <x v="0"/>
  </r>
  <r>
    <n v="13206"/>
    <n v="116863464"/>
    <s v="Recovery"/>
    <n v="200"/>
    <s v="AHY"/>
    <s v="M"/>
    <n v="9"/>
    <n v="2015"/>
    <n v="2015"/>
    <n v="11"/>
    <x v="0"/>
    <s v="11B"/>
    <x v="14"/>
    <n v="1"/>
    <n v="7"/>
    <x v="0"/>
    <x v="0"/>
  </r>
  <r>
    <n v="13210"/>
    <n v="116863468"/>
    <s v="Recovery"/>
    <n v="200"/>
    <s v="AHY"/>
    <s v="M"/>
    <n v="12"/>
    <n v="2019"/>
    <n v="2019"/>
    <n v="15"/>
    <x v="0"/>
    <s v="15B"/>
    <x v="11"/>
    <n v="1"/>
    <n v="67"/>
    <x v="2"/>
    <x v="1"/>
  </r>
  <r>
    <n v="13211"/>
    <n v="116863469"/>
    <s v="Recovery"/>
    <n v="200"/>
    <s v="AHY"/>
    <s v="M"/>
    <n v="9"/>
    <n v="2015"/>
    <n v="2015"/>
    <n v="11"/>
    <x v="0"/>
    <s v="11B"/>
    <x v="14"/>
    <n v="1"/>
    <n v="7"/>
    <x v="0"/>
    <x v="0"/>
  </r>
  <r>
    <n v="13213"/>
    <n v="116863471"/>
    <s v="Recovery"/>
    <n v="200"/>
    <s v="HY"/>
    <s v="F"/>
    <n v="9"/>
    <n v="2015"/>
    <n v="2015"/>
    <n v="11"/>
    <x v="0"/>
    <s v="11B"/>
    <x v="14"/>
    <n v="1"/>
    <n v="7"/>
    <x v="0"/>
    <x v="0"/>
  </r>
  <r>
    <n v="13219"/>
    <n v="116863477"/>
    <s v="Recovery"/>
    <n v="200"/>
    <s v="AHY"/>
    <s v="M"/>
    <n v="1"/>
    <n v="2021"/>
    <n v="2020"/>
    <n v="16"/>
    <x v="0"/>
    <s v="16B"/>
    <x v="15"/>
    <n v="1"/>
    <n v="7"/>
    <x v="0"/>
    <x v="0"/>
  </r>
  <r>
    <n v="13220"/>
    <n v="116863478"/>
    <s v="Recovery"/>
    <n v="200"/>
    <s v="AHY"/>
    <s v="M"/>
    <n v="9"/>
    <n v="2015"/>
    <n v="2015"/>
    <n v="11"/>
    <x v="0"/>
    <s v="11B"/>
    <x v="14"/>
    <n v="1"/>
    <n v="7"/>
    <x v="0"/>
    <x v="0"/>
  </r>
  <r>
    <n v="13225"/>
    <n v="116863483"/>
    <s v="Recovery"/>
    <n v="200"/>
    <s v="AHY"/>
    <s v="F"/>
    <n v="12"/>
    <n v="2017"/>
    <n v="2017"/>
    <n v="13"/>
    <x v="0"/>
    <s v="13B"/>
    <x v="13"/>
    <n v="1"/>
    <n v="7"/>
    <x v="0"/>
    <x v="0"/>
  </r>
  <r>
    <n v="13229"/>
    <n v="116863487"/>
    <s v="Recovery"/>
    <n v="200"/>
    <s v="AHY"/>
    <s v="F"/>
    <n v="1"/>
    <n v="2020"/>
    <n v="2019"/>
    <n v="15"/>
    <x v="0"/>
    <s v="15B"/>
    <x v="11"/>
    <n v="1"/>
    <n v="7"/>
    <x v="0"/>
    <x v="0"/>
  </r>
  <r>
    <n v="13230"/>
    <n v="116863488"/>
    <s v="Recovery"/>
    <n v="200"/>
    <s v="AHY"/>
    <s v="F"/>
    <n v="9"/>
    <n v="2016"/>
    <n v="2016"/>
    <n v="12"/>
    <x v="0"/>
    <s v="12B"/>
    <x v="12"/>
    <n v="1"/>
    <n v="7"/>
    <x v="0"/>
    <x v="0"/>
  </r>
  <r>
    <n v="13231"/>
    <n v="116863489"/>
    <s v="Recovery"/>
    <n v="200"/>
    <s v="AHY"/>
    <s v="F"/>
    <n v="1"/>
    <n v="2020"/>
    <n v="2019"/>
    <n v="15"/>
    <x v="0"/>
    <s v="15B"/>
    <x v="11"/>
    <n v="1"/>
    <n v="7"/>
    <x v="0"/>
    <x v="0"/>
  </r>
  <r>
    <n v="13233"/>
    <n v="116863491"/>
    <s v="Recovery"/>
    <n v="200"/>
    <s v="AHY"/>
    <s v="M"/>
    <n v="9"/>
    <n v="2015"/>
    <n v="2015"/>
    <n v="11"/>
    <x v="0"/>
    <s v="11B"/>
    <x v="14"/>
    <n v="1"/>
    <n v="7"/>
    <x v="0"/>
    <x v="0"/>
  </r>
  <r>
    <n v="13234"/>
    <n v="116863492"/>
    <s v="Recovery"/>
    <n v="200"/>
    <s v="AHY"/>
    <s v="F"/>
    <n v="9"/>
    <n v="2018"/>
    <n v="2018"/>
    <n v="14"/>
    <x v="0"/>
    <s v="14B"/>
    <x v="10"/>
    <n v="1"/>
    <n v="7"/>
    <x v="0"/>
    <x v="0"/>
  </r>
  <r>
    <n v="13248"/>
    <n v="116863506"/>
    <s v="Recovery"/>
    <n v="200"/>
    <s v="AHY"/>
    <s v="F"/>
    <n v="12"/>
    <n v="2017"/>
    <n v="2017"/>
    <n v="13"/>
    <x v="0"/>
    <s v="13B"/>
    <x v="13"/>
    <n v="1"/>
    <n v="7"/>
    <x v="0"/>
    <x v="0"/>
  </r>
  <r>
    <n v="13251"/>
    <n v="116863509"/>
    <s v="Recovery"/>
    <n v="200"/>
    <s v="AHY"/>
    <s v="F"/>
    <n v="12"/>
    <n v="2015"/>
    <n v="2015"/>
    <n v="11"/>
    <x v="0"/>
    <s v="11B"/>
    <x v="14"/>
    <n v="1"/>
    <n v="7"/>
    <x v="0"/>
    <x v="0"/>
  </r>
  <r>
    <n v="13258"/>
    <n v="116863516"/>
    <s v="Recovery"/>
    <n v="200"/>
    <s v="AHY"/>
    <s v="M"/>
    <n v="11"/>
    <n v="2015"/>
    <n v="2015"/>
    <n v="11"/>
    <x v="0"/>
    <s v="11B"/>
    <x v="14"/>
    <n v="1"/>
    <n v="7"/>
    <x v="0"/>
    <x v="0"/>
  </r>
  <r>
    <n v="13259"/>
    <n v="116863517"/>
    <s v="Recovery"/>
    <n v="200"/>
    <s v="AHY"/>
    <s v="F"/>
    <n v="12"/>
    <n v="2015"/>
    <n v="2015"/>
    <n v="11"/>
    <x v="0"/>
    <s v="11B"/>
    <x v="14"/>
    <n v="1"/>
    <n v="7"/>
    <x v="0"/>
    <x v="0"/>
  </r>
  <r>
    <n v="13260"/>
    <n v="116863518"/>
    <s v="Recovery"/>
    <n v="200"/>
    <s v="AHY"/>
    <s v="F"/>
    <n v="11"/>
    <n v="2016"/>
    <n v="2016"/>
    <n v="12"/>
    <x v="0"/>
    <s v="12B"/>
    <x v="12"/>
    <n v="1"/>
    <n v="7"/>
    <x v="0"/>
    <x v="0"/>
  </r>
  <r>
    <n v="13267"/>
    <n v="116863525"/>
    <s v="Recovery"/>
    <n v="200"/>
    <s v="AHY"/>
    <s v="M"/>
    <n v="9"/>
    <n v="2015"/>
    <n v="2015"/>
    <n v="11"/>
    <x v="0"/>
    <s v="11B"/>
    <x v="14"/>
    <n v="1"/>
    <n v="7"/>
    <x v="0"/>
    <x v="0"/>
  </r>
  <r>
    <n v="13268"/>
    <n v="116863526"/>
    <s v="Recovery"/>
    <n v="200"/>
    <s v="AHY"/>
    <s v="M"/>
    <n v="12"/>
    <n v="2015"/>
    <n v="2015"/>
    <n v="11"/>
    <x v="0"/>
    <s v="11B"/>
    <x v="14"/>
    <n v="1"/>
    <n v="7"/>
    <x v="0"/>
    <x v="0"/>
  </r>
  <r>
    <n v="13272"/>
    <n v="116863530"/>
    <s v="Recovery"/>
    <n v="200"/>
    <s v="AHY"/>
    <s v="F"/>
    <n v="11"/>
    <n v="2015"/>
    <n v="2015"/>
    <n v="11"/>
    <x v="0"/>
    <s v="11B"/>
    <x v="14"/>
    <n v="1"/>
    <n v="7"/>
    <x v="0"/>
    <x v="0"/>
  </r>
  <r>
    <n v="13273"/>
    <n v="116863531"/>
    <s v="Recovery"/>
    <n v="200"/>
    <s v="AHY"/>
    <s v="F"/>
    <n v="9"/>
    <n v="2015"/>
    <n v="2015"/>
    <n v="11"/>
    <x v="0"/>
    <s v="11B"/>
    <x v="14"/>
    <n v="1"/>
    <n v="7"/>
    <x v="0"/>
    <x v="0"/>
  </r>
  <r>
    <n v="13275"/>
    <n v="116863533"/>
    <s v="Recovery"/>
    <n v="200"/>
    <s v="AHY"/>
    <s v="M"/>
    <n v="1"/>
    <n v="2020"/>
    <n v="2019"/>
    <n v="15"/>
    <x v="0"/>
    <s v="15B"/>
    <x v="11"/>
    <n v="1"/>
    <n v="7"/>
    <x v="0"/>
    <x v="0"/>
  </r>
  <r>
    <n v="13277"/>
    <n v="116863535"/>
    <s v="Recovery"/>
    <n v="200"/>
    <s v="AHY"/>
    <s v="F"/>
    <n v="12"/>
    <n v="2015"/>
    <n v="2015"/>
    <n v="11"/>
    <x v="0"/>
    <s v="11B"/>
    <x v="14"/>
    <n v="1"/>
    <n v="7"/>
    <x v="0"/>
    <x v="0"/>
  </r>
  <r>
    <n v="13278"/>
    <n v="116863536"/>
    <s v="Recovery"/>
    <n v="200"/>
    <s v="AHY"/>
    <s v="M"/>
    <n v="12"/>
    <n v="2015"/>
    <n v="2015"/>
    <n v="11"/>
    <x v="0"/>
    <s v="11B"/>
    <x v="14"/>
    <n v="1"/>
    <n v="7"/>
    <x v="0"/>
    <x v="0"/>
  </r>
  <r>
    <n v="13281"/>
    <n v="116863539"/>
    <s v="Recovery"/>
    <n v="200"/>
    <s v="AHY"/>
    <s v="F"/>
    <n v="12"/>
    <n v="2017"/>
    <n v="2017"/>
    <n v="13"/>
    <x v="0"/>
    <s v="13B"/>
    <x v="13"/>
    <n v="1"/>
    <n v="7"/>
    <x v="0"/>
    <x v="0"/>
  </r>
  <r>
    <n v="13285"/>
    <n v="116863543"/>
    <s v="Recovery"/>
    <n v="200"/>
    <s v="AHY"/>
    <s v="F"/>
    <n v="9"/>
    <n v="2015"/>
    <n v="2015"/>
    <n v="11"/>
    <x v="0"/>
    <s v="11B"/>
    <x v="14"/>
    <n v="1"/>
    <n v="7"/>
    <x v="0"/>
    <x v="0"/>
  </r>
  <r>
    <n v="13286"/>
    <n v="116863544"/>
    <s v="Recovery"/>
    <n v="200"/>
    <s v="AHY"/>
    <s v="F"/>
    <n v="1"/>
    <n v="2016"/>
    <n v="2015"/>
    <n v="11"/>
    <x v="0"/>
    <s v="11B"/>
    <x v="14"/>
    <n v="1"/>
    <n v="7"/>
    <x v="0"/>
    <x v="0"/>
  </r>
  <r>
    <n v="13287"/>
    <n v="116863545"/>
    <s v="Recovery"/>
    <n v="200"/>
    <s v="AHY"/>
    <s v="M"/>
    <n v="12"/>
    <n v="2018"/>
    <n v="2018"/>
    <n v="14"/>
    <x v="0"/>
    <s v="14B"/>
    <x v="10"/>
    <n v="1"/>
    <n v="7"/>
    <x v="0"/>
    <x v="0"/>
  </r>
  <r>
    <n v="13288"/>
    <n v="116863546"/>
    <s v="Recovery"/>
    <n v="200"/>
    <s v="AHY"/>
    <s v="M"/>
    <n v="9"/>
    <n v="2018"/>
    <n v="2018"/>
    <n v="14"/>
    <x v="0"/>
    <s v="14B"/>
    <x v="10"/>
    <n v="1"/>
    <n v="7"/>
    <x v="0"/>
    <x v="0"/>
  </r>
  <r>
    <n v="13289"/>
    <n v="116863547"/>
    <s v="Recovery"/>
    <n v="200"/>
    <s v="AHY"/>
    <s v="M"/>
    <n v="9"/>
    <n v="2017"/>
    <n v="2017"/>
    <n v="13"/>
    <x v="0"/>
    <s v="13B"/>
    <x v="13"/>
    <n v="1"/>
    <n v="7"/>
    <x v="0"/>
    <x v="0"/>
  </r>
  <r>
    <n v="13291"/>
    <n v="116863549"/>
    <s v="Recovery"/>
    <n v="200"/>
    <s v="AHY"/>
    <s v="F"/>
    <n v="11"/>
    <n v="2015"/>
    <n v="2015"/>
    <n v="11"/>
    <x v="0"/>
    <s v="11B"/>
    <x v="14"/>
    <n v="1"/>
    <n v="7"/>
    <x v="0"/>
    <x v="0"/>
  </r>
  <r>
    <n v="13292"/>
    <n v="116863550"/>
    <s v="Recovery"/>
    <n v="200"/>
    <s v="AHY"/>
    <s v="M"/>
    <n v="9"/>
    <n v="2016"/>
    <n v="2016"/>
    <n v="12"/>
    <x v="0"/>
    <s v="12B"/>
    <x v="12"/>
    <n v="1"/>
    <n v="7"/>
    <x v="0"/>
    <x v="0"/>
  </r>
  <r>
    <n v="13296"/>
    <n v="116863554"/>
    <s v="Recovery"/>
    <n v="200"/>
    <s v="AHY"/>
    <s v="F"/>
    <n v="1"/>
    <n v="2016"/>
    <n v="2015"/>
    <n v="11"/>
    <x v="0"/>
    <s v="11B"/>
    <x v="14"/>
    <n v="1"/>
    <n v="7"/>
    <x v="0"/>
    <x v="0"/>
  </r>
  <r>
    <n v="13297"/>
    <n v="116863555"/>
    <s v="Recovery"/>
    <n v="200"/>
    <s v="AHY"/>
    <s v="F"/>
    <n v="1"/>
    <n v="2021"/>
    <n v="2020"/>
    <n v="16"/>
    <x v="0"/>
    <s v="16B"/>
    <x v="15"/>
    <n v="1"/>
    <n v="7"/>
    <x v="0"/>
    <x v="0"/>
  </r>
  <r>
    <n v="13299"/>
    <n v="116863557"/>
    <s v="Recovery"/>
    <n v="200"/>
    <s v="AHY"/>
    <s v="M"/>
    <n v="12"/>
    <n v="2017"/>
    <n v="2017"/>
    <n v="13"/>
    <x v="0"/>
    <s v="13B"/>
    <x v="13"/>
    <n v="1"/>
    <n v="7"/>
    <x v="0"/>
    <x v="0"/>
  </r>
  <r>
    <n v="13301"/>
    <n v="116863559"/>
    <s v="Recovery"/>
    <n v="200"/>
    <s v="AHY"/>
    <s v="F"/>
    <n v="12"/>
    <n v="2019"/>
    <n v="2019"/>
    <n v="15"/>
    <x v="0"/>
    <s v="15B"/>
    <x v="11"/>
    <n v="1"/>
    <n v="7"/>
    <x v="0"/>
    <x v="0"/>
  </r>
  <r>
    <n v="13305"/>
    <n v="116863563"/>
    <s v="Recovery"/>
    <n v="200"/>
    <s v="AHY"/>
    <s v="F"/>
    <n v="11"/>
    <n v="2017"/>
    <n v="2017"/>
    <n v="13"/>
    <x v="0"/>
    <s v="13B"/>
    <x v="13"/>
    <n v="1"/>
    <n v="7"/>
    <x v="0"/>
    <x v="0"/>
  </r>
  <r>
    <n v="13315"/>
    <n v="116863573"/>
    <s v="Recovery"/>
    <n v="200"/>
    <s v="AHY"/>
    <s v="F"/>
    <n v="9"/>
    <n v="2018"/>
    <n v="2018"/>
    <n v="14"/>
    <x v="0"/>
    <s v="14B"/>
    <x v="10"/>
    <n v="1"/>
    <n v="7"/>
    <x v="0"/>
    <x v="0"/>
  </r>
  <r>
    <n v="13317"/>
    <n v="116863575"/>
    <s v="Recovery"/>
    <n v="200"/>
    <s v="AHY"/>
    <s v="F"/>
    <n v="9"/>
    <n v="2017"/>
    <n v="2017"/>
    <n v="13"/>
    <x v="0"/>
    <s v="13B"/>
    <x v="13"/>
    <n v="1"/>
    <n v="7"/>
    <x v="0"/>
    <x v="0"/>
  </r>
  <r>
    <n v="13320"/>
    <n v="116863578"/>
    <s v="Recovery"/>
    <n v="200"/>
    <s v="AHY"/>
    <s v="M"/>
    <n v="9"/>
    <n v="2015"/>
    <n v="2015"/>
    <n v="11"/>
    <x v="0"/>
    <s v="11B"/>
    <x v="14"/>
    <n v="1"/>
    <n v="7"/>
    <x v="0"/>
    <x v="0"/>
  </r>
  <r>
    <n v="13328"/>
    <n v="116863586"/>
    <s v="Recovery"/>
    <n v="200"/>
    <s v="AHY"/>
    <s v="M"/>
    <n v="12"/>
    <n v="2015"/>
    <n v="2015"/>
    <n v="11"/>
    <x v="0"/>
    <s v="11B"/>
    <x v="14"/>
    <n v="1"/>
    <n v="7"/>
    <x v="0"/>
    <x v="0"/>
  </r>
  <r>
    <n v="13330"/>
    <n v="116863588"/>
    <s v="Recovery"/>
    <n v="200"/>
    <s v="AHY"/>
    <s v="M"/>
    <n v="9"/>
    <n v="2017"/>
    <n v="2017"/>
    <n v="13"/>
    <x v="0"/>
    <s v="13B"/>
    <x v="13"/>
    <n v="1"/>
    <n v="7"/>
    <x v="0"/>
    <x v="0"/>
  </r>
  <r>
    <n v="13331"/>
    <n v="116863589"/>
    <s v="Recovery"/>
    <n v="200"/>
    <s v="AHY"/>
    <s v="F"/>
    <n v="11"/>
    <n v="2017"/>
    <n v="2017"/>
    <n v="13"/>
    <x v="0"/>
    <s v="13B"/>
    <x v="13"/>
    <n v="1"/>
    <n v="7"/>
    <x v="0"/>
    <x v="0"/>
  </r>
  <r>
    <n v="13336"/>
    <n v="116863594"/>
    <s v="Recovery"/>
    <n v="200"/>
    <s v="AHY"/>
    <s v="F"/>
    <n v="12"/>
    <n v="2016"/>
    <n v="2016"/>
    <n v="12"/>
    <x v="0"/>
    <s v="12B"/>
    <x v="12"/>
    <n v="1"/>
    <n v="7"/>
    <x v="0"/>
    <x v="0"/>
  </r>
  <r>
    <n v="13359"/>
    <n v="116863617"/>
    <s v="Recovery"/>
    <n v="200"/>
    <s v="AHY"/>
    <s v="M"/>
    <n v="9"/>
    <n v="2016"/>
    <n v="2016"/>
    <n v="12"/>
    <x v="0"/>
    <s v="12B"/>
    <x v="12"/>
    <n v="1"/>
    <n v="7"/>
    <x v="0"/>
    <x v="0"/>
  </r>
  <r>
    <n v="13361"/>
    <n v="116863619"/>
    <s v="Recovery"/>
    <n v="200"/>
    <s v="AHY"/>
    <s v="F"/>
    <n v="9"/>
    <n v="2015"/>
    <n v="2015"/>
    <n v="11"/>
    <x v="0"/>
    <s v="11B"/>
    <x v="14"/>
    <n v="1"/>
    <n v="7"/>
    <x v="0"/>
    <x v="0"/>
  </r>
  <r>
    <n v="13364"/>
    <n v="116863622"/>
    <s v="Recovery"/>
    <n v="200"/>
    <s v="AHY"/>
    <s v="M"/>
    <n v="12"/>
    <n v="2015"/>
    <n v="2015"/>
    <n v="11"/>
    <x v="0"/>
    <s v="11B"/>
    <x v="14"/>
    <n v="1"/>
    <n v="7"/>
    <x v="0"/>
    <x v="0"/>
  </r>
  <r>
    <n v="13370"/>
    <n v="116863628"/>
    <s v="Recovery"/>
    <n v="200"/>
    <s v="AHY"/>
    <s v="F"/>
    <n v="9"/>
    <n v="2017"/>
    <n v="2017"/>
    <n v="13"/>
    <x v="0"/>
    <s v="13B"/>
    <x v="13"/>
    <n v="1"/>
    <n v="7"/>
    <x v="0"/>
    <x v="0"/>
  </r>
  <r>
    <n v="13371"/>
    <n v="116864201"/>
    <s v="Recovery"/>
    <n v="200"/>
    <s v="AHY"/>
    <s v="F"/>
    <n v="1"/>
    <n v="2017"/>
    <n v="2016"/>
    <n v="12"/>
    <x v="0"/>
    <s v="12B"/>
    <x v="12"/>
    <n v="1"/>
    <n v="7"/>
    <x v="0"/>
    <x v="0"/>
  </r>
  <r>
    <n v="13373"/>
    <n v="116864203"/>
    <s v="Recovery"/>
    <n v="200"/>
    <s v="AHY"/>
    <s v="M"/>
    <n v="1"/>
    <n v="2020"/>
    <n v="2019"/>
    <n v="15"/>
    <x v="0"/>
    <s v="15B"/>
    <x v="11"/>
    <n v="1"/>
    <n v="7"/>
    <x v="0"/>
    <x v="0"/>
  </r>
  <r>
    <n v="13382"/>
    <n v="116864212"/>
    <s v="Recovery"/>
    <n v="200"/>
    <s v="AHY"/>
    <s v="F"/>
    <n v="9"/>
    <n v="2019"/>
    <n v="2019"/>
    <n v="15"/>
    <x v="0"/>
    <s v="15B"/>
    <x v="11"/>
    <n v="1"/>
    <n v="7"/>
    <x v="0"/>
    <x v="0"/>
  </r>
  <r>
    <n v="13389"/>
    <n v="116864219"/>
    <s v="Recovery"/>
    <n v="200"/>
    <s v="AHY"/>
    <s v="M"/>
    <n v="12"/>
    <n v="2016"/>
    <n v="2016"/>
    <n v="12"/>
    <x v="0"/>
    <s v="12B"/>
    <x v="12"/>
    <n v="1"/>
    <n v="7"/>
    <x v="0"/>
    <x v="0"/>
  </r>
  <r>
    <n v="13390"/>
    <n v="116864220"/>
    <s v="Recovery"/>
    <n v="200"/>
    <s v="AHY"/>
    <s v="F"/>
    <n v="1"/>
    <n v="2017"/>
    <n v="2016"/>
    <n v="12"/>
    <x v="0"/>
    <s v="12B"/>
    <x v="12"/>
    <n v="1"/>
    <n v="7"/>
    <x v="0"/>
    <x v="0"/>
  </r>
  <r>
    <n v="13392"/>
    <n v="116864222"/>
    <s v="Recovery"/>
    <n v="200"/>
    <s v="AHY"/>
    <s v="F"/>
    <n v="1"/>
    <n v="2017"/>
    <n v="2016"/>
    <n v="12"/>
    <x v="0"/>
    <s v="12B"/>
    <x v="12"/>
    <n v="1"/>
    <n v="7"/>
    <x v="0"/>
    <x v="0"/>
  </r>
  <r>
    <n v="13396"/>
    <n v="116864226"/>
    <s v="Recovery"/>
    <n v="200"/>
    <s v="AHY"/>
    <s v="F"/>
    <n v="1"/>
    <n v="2017"/>
    <n v="2016"/>
    <n v="12"/>
    <x v="0"/>
    <s v="12B"/>
    <x v="12"/>
    <n v="1"/>
    <n v="7"/>
    <x v="0"/>
    <x v="0"/>
  </r>
  <r>
    <n v="13397"/>
    <n v="116864227"/>
    <s v="Recovery"/>
    <n v="200"/>
    <s v="AHY"/>
    <s v="F"/>
    <n v="1"/>
    <n v="2020"/>
    <n v="2019"/>
    <n v="15"/>
    <x v="0"/>
    <s v="15B"/>
    <x v="11"/>
    <n v="1"/>
    <n v="7"/>
    <x v="0"/>
    <x v="0"/>
  </r>
  <r>
    <n v="13403"/>
    <n v="116864233"/>
    <s v="Recovery"/>
    <n v="200"/>
    <s v="AHY"/>
    <s v="F"/>
    <n v="9"/>
    <n v="2019"/>
    <n v="2019"/>
    <n v="15"/>
    <x v="0"/>
    <s v="15B"/>
    <x v="11"/>
    <n v="1"/>
    <n v="7"/>
    <x v="0"/>
    <x v="0"/>
  </r>
  <r>
    <n v="13408"/>
    <n v="116864238"/>
    <s v="Recovery"/>
    <n v="200"/>
    <s v="AHY"/>
    <s v="F"/>
    <n v="9"/>
    <n v="2015"/>
    <n v="2015"/>
    <n v="11"/>
    <x v="0"/>
    <s v="11B"/>
    <x v="14"/>
    <n v="1"/>
    <n v="7"/>
    <x v="0"/>
    <x v="0"/>
  </r>
  <r>
    <n v="13413"/>
    <n v="116864243"/>
    <s v="Recovery"/>
    <n v="200"/>
    <s v="AHY"/>
    <s v="F"/>
    <n v="1"/>
    <n v="2017"/>
    <n v="2016"/>
    <n v="12"/>
    <x v="0"/>
    <s v="12B"/>
    <x v="12"/>
    <n v="1"/>
    <n v="7"/>
    <x v="0"/>
    <x v="0"/>
  </r>
  <r>
    <n v="13414"/>
    <n v="116864244"/>
    <s v="Recovery"/>
    <n v="200"/>
    <s v="AHY"/>
    <s v="F"/>
    <n v="1"/>
    <n v="2020"/>
    <n v="2019"/>
    <n v="15"/>
    <x v="0"/>
    <s v="15B"/>
    <x v="11"/>
    <n v="1"/>
    <n v="7"/>
    <x v="0"/>
    <x v="0"/>
  </r>
  <r>
    <n v="13424"/>
    <n v="116864254"/>
    <s v="Recovery"/>
    <n v="200"/>
    <s v="AHY"/>
    <s v="F"/>
    <n v="1"/>
    <n v="2020"/>
    <n v="2019"/>
    <n v="15"/>
    <x v="0"/>
    <s v="15B"/>
    <x v="11"/>
    <n v="1"/>
    <n v="7"/>
    <x v="0"/>
    <x v="0"/>
  </r>
  <r>
    <n v="13426"/>
    <n v="116864256"/>
    <s v="Recovery"/>
    <n v="200"/>
    <s v="AHY"/>
    <s v="F"/>
    <n v="12"/>
    <n v="2016"/>
    <n v="2016"/>
    <n v="12"/>
    <x v="0"/>
    <s v="12B"/>
    <x v="12"/>
    <n v="1"/>
    <n v="7"/>
    <x v="0"/>
    <x v="0"/>
  </r>
  <r>
    <n v="13430"/>
    <n v="116864260"/>
    <s v="Recovery"/>
    <n v="200"/>
    <s v="AHY"/>
    <s v="F"/>
    <n v="9"/>
    <n v="2019"/>
    <n v="2019"/>
    <n v="15"/>
    <x v="0"/>
    <s v="15B"/>
    <x v="11"/>
    <n v="1"/>
    <n v="7"/>
    <x v="0"/>
    <x v="0"/>
  </r>
  <r>
    <n v="13438"/>
    <n v="116863629"/>
    <s v="Recovery"/>
    <n v="200"/>
    <s v="AHY"/>
    <s v="F"/>
    <n v="1"/>
    <n v="2020"/>
    <n v="2019"/>
    <n v="15"/>
    <x v="0"/>
    <s v="15B"/>
    <x v="11"/>
    <n v="1"/>
    <n v="7"/>
    <x v="0"/>
    <x v="0"/>
  </r>
  <r>
    <n v="13446"/>
    <n v="116863637"/>
    <s v="Recovery"/>
    <n v="200"/>
    <s v="AHY"/>
    <s v="F"/>
    <n v="1"/>
    <n v="2017"/>
    <n v="2016"/>
    <n v="12"/>
    <x v="0"/>
    <s v="12B"/>
    <x v="12"/>
    <n v="1"/>
    <n v="7"/>
    <x v="0"/>
    <x v="0"/>
  </r>
  <r>
    <n v="13465"/>
    <n v="116863656"/>
    <s v="Recovery"/>
    <n v="200"/>
    <s v="AHY"/>
    <s v="M"/>
    <n v="1"/>
    <n v="2016"/>
    <n v="2015"/>
    <n v="11"/>
    <x v="0"/>
    <s v="11B"/>
    <x v="14"/>
    <n v="1"/>
    <n v="7"/>
    <x v="0"/>
    <x v="0"/>
  </r>
  <r>
    <n v="13482"/>
    <n v="116863673"/>
    <s v="Recovery"/>
    <n v="200"/>
    <s v="AHY"/>
    <s v="F"/>
    <n v="9"/>
    <n v="2017"/>
    <n v="2017"/>
    <n v="13"/>
    <x v="0"/>
    <s v="13B"/>
    <x v="13"/>
    <n v="1"/>
    <n v="7"/>
    <x v="0"/>
    <x v="0"/>
  </r>
  <r>
    <n v="13488"/>
    <n v="116863679"/>
    <s v="Recovery"/>
    <n v="200"/>
    <s v="AHY"/>
    <s v="M"/>
    <n v="1"/>
    <n v="2020"/>
    <n v="2019"/>
    <n v="15"/>
    <x v="0"/>
    <s v="15B"/>
    <x v="11"/>
    <n v="1"/>
    <n v="7"/>
    <x v="0"/>
    <x v="0"/>
  </r>
  <r>
    <n v="13496"/>
    <n v="116863687"/>
    <s v="Recovery"/>
    <n v="200"/>
    <s v="AHY"/>
    <s v="M"/>
    <n v="9"/>
    <n v="2018"/>
    <n v="2018"/>
    <n v="14"/>
    <x v="0"/>
    <s v="14B"/>
    <x v="10"/>
    <n v="1"/>
    <n v="7"/>
    <x v="0"/>
    <x v="0"/>
  </r>
  <r>
    <n v="13504"/>
    <n v="116863695"/>
    <s v="Recovery"/>
    <n v="200"/>
    <s v="AHY"/>
    <s v="F"/>
    <n v="12"/>
    <n v="2020"/>
    <n v="2020"/>
    <n v="16"/>
    <x v="0"/>
    <s v="16B"/>
    <x v="15"/>
    <n v="1"/>
    <n v="7"/>
    <x v="0"/>
    <x v="0"/>
  </r>
  <r>
    <n v="13507"/>
    <n v="116863698"/>
    <s v="Recovery"/>
    <n v="200"/>
    <s v="AHY"/>
    <s v="M"/>
    <n v="12"/>
    <n v="2016"/>
    <n v="2016"/>
    <n v="12"/>
    <x v="0"/>
    <s v="12B"/>
    <x v="12"/>
    <n v="1"/>
    <n v="7"/>
    <x v="0"/>
    <x v="0"/>
  </r>
  <r>
    <n v="13508"/>
    <n v="116863699"/>
    <s v="Recovery"/>
    <n v="200"/>
    <s v="AHY"/>
    <s v="F"/>
    <n v="11"/>
    <n v="2016"/>
    <n v="2016"/>
    <n v="12"/>
    <x v="0"/>
    <s v="12B"/>
    <x v="12"/>
    <n v="1"/>
    <n v="7"/>
    <x v="0"/>
    <x v="0"/>
  </r>
  <r>
    <n v="13510"/>
    <n v="116863701"/>
    <s v="Recovery"/>
    <n v="200"/>
    <s v="AHY"/>
    <s v="F"/>
    <n v="9"/>
    <n v="2017"/>
    <n v="2017"/>
    <n v="13"/>
    <x v="0"/>
    <s v="13B"/>
    <x v="13"/>
    <n v="1"/>
    <n v="7"/>
    <x v="0"/>
    <x v="0"/>
  </r>
  <r>
    <n v="13513"/>
    <n v="116863704"/>
    <s v="Recovery"/>
    <n v="200"/>
    <s v="AHY"/>
    <s v="F"/>
    <n v="1"/>
    <n v="2017"/>
    <n v="2016"/>
    <n v="12"/>
    <x v="0"/>
    <s v="12B"/>
    <x v="12"/>
    <n v="1"/>
    <n v="7"/>
    <x v="0"/>
    <x v="0"/>
  </r>
  <r>
    <n v="13517"/>
    <n v="116863708"/>
    <s v="Recovery"/>
    <n v="200"/>
    <s v="AHY"/>
    <s v="M"/>
    <n v="1"/>
    <n v="2016"/>
    <n v="2015"/>
    <n v="11"/>
    <x v="0"/>
    <s v="11B"/>
    <x v="14"/>
    <n v="1"/>
    <n v="7"/>
    <x v="0"/>
    <x v="0"/>
  </r>
  <r>
    <n v="13521"/>
    <n v="116863712"/>
    <s v="Recovery"/>
    <n v="200"/>
    <s v="AHY"/>
    <s v="M"/>
    <n v="11"/>
    <n v="2016"/>
    <n v="2016"/>
    <n v="12"/>
    <x v="0"/>
    <s v="12B"/>
    <x v="12"/>
    <n v="1"/>
    <n v="7"/>
    <x v="0"/>
    <x v="0"/>
  </r>
  <r>
    <n v="13522"/>
    <n v="116863713"/>
    <s v="Recovery"/>
    <n v="200"/>
    <s v="AHY"/>
    <s v="F"/>
    <n v="9"/>
    <n v="2016"/>
    <n v="2016"/>
    <n v="12"/>
    <x v="0"/>
    <s v="12B"/>
    <x v="12"/>
    <n v="1"/>
    <n v="7"/>
    <x v="0"/>
    <x v="0"/>
  </r>
  <r>
    <n v="13528"/>
    <n v="116863719"/>
    <s v="Recovery"/>
    <n v="200"/>
    <s v="AHY"/>
    <s v="F"/>
    <n v="9"/>
    <n v="2015"/>
    <n v="2015"/>
    <n v="11"/>
    <x v="0"/>
    <s v="11B"/>
    <x v="14"/>
    <n v="1"/>
    <n v="7"/>
    <x v="0"/>
    <x v="0"/>
  </r>
  <r>
    <n v="13530"/>
    <n v="116863721"/>
    <s v="Recovery"/>
    <n v="200"/>
    <s v="AHY"/>
    <s v="F"/>
    <n v="12"/>
    <n v="2017"/>
    <n v="2017"/>
    <n v="13"/>
    <x v="0"/>
    <s v="13B"/>
    <x v="13"/>
    <n v="1"/>
    <n v="7"/>
    <x v="0"/>
    <x v="0"/>
  </r>
  <r>
    <n v="13533"/>
    <n v="116863724"/>
    <s v="Recovery"/>
    <n v="200"/>
    <s v="AHY"/>
    <s v="F"/>
    <n v="1"/>
    <n v="2019"/>
    <n v="2018"/>
    <n v="14"/>
    <x v="0"/>
    <s v="14B"/>
    <x v="10"/>
    <n v="1"/>
    <n v="7"/>
    <x v="0"/>
    <x v="0"/>
  </r>
  <r>
    <n v="13536"/>
    <n v="116863727"/>
    <s v="Recovery"/>
    <n v="200"/>
    <s v="AHY"/>
    <s v="M"/>
    <n v="9"/>
    <n v="2019"/>
    <n v="2019"/>
    <n v="15"/>
    <x v="0"/>
    <s v="15B"/>
    <x v="11"/>
    <n v="1"/>
    <n v="7"/>
    <x v="0"/>
    <x v="0"/>
  </r>
  <r>
    <n v="13539"/>
    <n v="116863730"/>
    <s v="Recovery"/>
    <n v="200"/>
    <s v="AHY"/>
    <s v="F"/>
    <n v="11"/>
    <n v="2017"/>
    <n v="2017"/>
    <n v="13"/>
    <x v="0"/>
    <s v="13B"/>
    <x v="13"/>
    <n v="1"/>
    <n v="7"/>
    <x v="0"/>
    <x v="0"/>
  </r>
  <r>
    <n v="13540"/>
    <n v="116863731"/>
    <s v="Recovery"/>
    <n v="200"/>
    <s v="AHY"/>
    <s v="M"/>
    <n v="9"/>
    <n v="2016"/>
    <n v="2016"/>
    <n v="12"/>
    <x v="0"/>
    <s v="12B"/>
    <x v="12"/>
    <n v="1"/>
    <n v="7"/>
    <x v="0"/>
    <x v="0"/>
  </r>
  <r>
    <n v="13542"/>
    <n v="116863733"/>
    <s v="Recovery"/>
    <n v="200"/>
    <s v="AHY"/>
    <s v="F"/>
    <n v="1"/>
    <n v="2017"/>
    <n v="2016"/>
    <n v="12"/>
    <x v="0"/>
    <s v="12B"/>
    <x v="12"/>
    <n v="1"/>
    <n v="7"/>
    <x v="0"/>
    <x v="0"/>
  </r>
  <r>
    <n v="13546"/>
    <n v="116863737"/>
    <s v="Recovery"/>
    <n v="200"/>
    <s v="AHY"/>
    <s v="M"/>
    <n v="1"/>
    <n v="2017"/>
    <n v="2016"/>
    <n v="12"/>
    <x v="0"/>
    <s v="12B"/>
    <x v="12"/>
    <n v="1"/>
    <n v="7"/>
    <x v="0"/>
    <x v="0"/>
  </r>
  <r>
    <n v="13548"/>
    <n v="116863739"/>
    <s v="Recovery"/>
    <n v="200"/>
    <s v="AHY"/>
    <s v="F"/>
    <n v="1"/>
    <n v="2016"/>
    <n v="2015"/>
    <n v="11"/>
    <x v="0"/>
    <s v="11B"/>
    <x v="14"/>
    <n v="1"/>
    <n v="7"/>
    <x v="0"/>
    <x v="0"/>
  </r>
  <r>
    <n v="13549"/>
    <n v="116863740"/>
    <s v="Recovery"/>
    <n v="200"/>
    <s v="AHY"/>
    <s v="M"/>
    <n v="12"/>
    <n v="2020"/>
    <n v="2020"/>
    <n v="16"/>
    <x v="0"/>
    <s v="16B"/>
    <x v="15"/>
    <n v="1"/>
    <n v="7"/>
    <x v="0"/>
    <x v="0"/>
  </r>
  <r>
    <n v="13552"/>
    <n v="116863743"/>
    <s v="Recovery"/>
    <n v="200"/>
    <s v="AHY"/>
    <s v="F"/>
    <n v="1"/>
    <n v="2016"/>
    <n v="2015"/>
    <n v="11"/>
    <x v="0"/>
    <s v="11B"/>
    <x v="14"/>
    <n v="1"/>
    <n v="7"/>
    <x v="0"/>
    <x v="0"/>
  </r>
  <r>
    <n v="13556"/>
    <n v="116863747"/>
    <s v="Recovery"/>
    <n v="200"/>
    <s v="AHY"/>
    <s v="F"/>
    <n v="11"/>
    <n v="2015"/>
    <n v="2015"/>
    <n v="11"/>
    <x v="0"/>
    <s v="11B"/>
    <x v="14"/>
    <n v="1"/>
    <n v="7"/>
    <x v="0"/>
    <x v="0"/>
  </r>
  <r>
    <n v="13557"/>
    <n v="116863748"/>
    <s v="Recovery"/>
    <n v="200"/>
    <s v="AHY"/>
    <s v="M"/>
    <n v="1"/>
    <n v="2018"/>
    <n v="2017"/>
    <n v="13"/>
    <x v="0"/>
    <s v="13B"/>
    <x v="13"/>
    <n v="1"/>
    <n v="7"/>
    <x v="0"/>
    <x v="0"/>
  </r>
  <r>
    <n v="13559"/>
    <n v="116863750"/>
    <s v="Recovery"/>
    <n v="200"/>
    <s v="AHY"/>
    <s v="M"/>
    <n v="1"/>
    <n v="2016"/>
    <n v="2015"/>
    <n v="11"/>
    <x v="0"/>
    <s v="11B"/>
    <x v="14"/>
    <n v="1"/>
    <n v="7"/>
    <x v="0"/>
    <x v="0"/>
  </r>
  <r>
    <n v="13560"/>
    <n v="116863751"/>
    <s v="Recovery"/>
    <n v="200"/>
    <s v="AHY"/>
    <s v="F"/>
    <n v="9"/>
    <n v="2016"/>
    <n v="2016"/>
    <n v="12"/>
    <x v="0"/>
    <s v="12B"/>
    <x v="12"/>
    <n v="1"/>
    <n v="45"/>
    <x v="1"/>
    <x v="1"/>
  </r>
  <r>
    <n v="13561"/>
    <n v="116863752"/>
    <s v="Recovery"/>
    <n v="200"/>
    <s v="AHY"/>
    <s v="M"/>
    <n v="9"/>
    <n v="2017"/>
    <n v="2017"/>
    <n v="13"/>
    <x v="0"/>
    <s v="13B"/>
    <x v="13"/>
    <n v="1"/>
    <n v="7"/>
    <x v="0"/>
    <x v="0"/>
  </r>
  <r>
    <n v="13565"/>
    <n v="116863756"/>
    <s v="Recovery"/>
    <n v="200"/>
    <s v="AHY"/>
    <s v="M"/>
    <n v="11"/>
    <n v="2015"/>
    <n v="2015"/>
    <n v="11"/>
    <x v="0"/>
    <s v="11B"/>
    <x v="14"/>
    <n v="1"/>
    <n v="7"/>
    <x v="0"/>
    <x v="0"/>
  </r>
  <r>
    <n v="13571"/>
    <n v="116863762"/>
    <s v="Recovery"/>
    <n v="200"/>
    <s v="AHY"/>
    <s v="M"/>
    <n v="11"/>
    <n v="2019"/>
    <n v="2019"/>
    <n v="15"/>
    <x v="0"/>
    <s v="15B"/>
    <x v="11"/>
    <n v="1"/>
    <n v="68"/>
    <x v="23"/>
    <x v="1"/>
  </r>
  <r>
    <n v="13584"/>
    <n v="116863775"/>
    <s v="Recovery"/>
    <n v="200"/>
    <s v="AHY"/>
    <s v="F"/>
    <n v="9"/>
    <n v="2016"/>
    <n v="2016"/>
    <n v="12"/>
    <x v="0"/>
    <s v="12B"/>
    <x v="12"/>
    <n v="1"/>
    <n v="7"/>
    <x v="0"/>
    <x v="0"/>
  </r>
  <r>
    <n v="13586"/>
    <n v="116863777"/>
    <s v="Recovery"/>
    <n v="200"/>
    <s v="AHY"/>
    <s v="M"/>
    <n v="9"/>
    <n v="2016"/>
    <n v="2016"/>
    <n v="12"/>
    <x v="0"/>
    <s v="12B"/>
    <x v="12"/>
    <n v="1"/>
    <n v="7"/>
    <x v="0"/>
    <x v="0"/>
  </r>
  <r>
    <n v="13590"/>
    <n v="116863781"/>
    <s v="Recovery"/>
    <n v="200"/>
    <s v="AHY"/>
    <s v="M"/>
    <n v="9"/>
    <n v="2019"/>
    <n v="2019"/>
    <n v="15"/>
    <x v="0"/>
    <s v="15B"/>
    <x v="11"/>
    <n v="1"/>
    <n v="7"/>
    <x v="0"/>
    <x v="0"/>
  </r>
  <r>
    <n v="13592"/>
    <n v="116863783"/>
    <s v="Recovery"/>
    <n v="200"/>
    <s v="AHY"/>
    <s v="M"/>
    <n v="1"/>
    <n v="2017"/>
    <n v="2016"/>
    <n v="12"/>
    <x v="0"/>
    <s v="12B"/>
    <x v="12"/>
    <n v="1"/>
    <n v="7"/>
    <x v="0"/>
    <x v="0"/>
  </r>
  <r>
    <n v="13595"/>
    <n v="116863786"/>
    <s v="Recovery"/>
    <n v="200"/>
    <s v="AHY"/>
    <s v="M"/>
    <n v="12"/>
    <n v="2015"/>
    <n v="2015"/>
    <n v="11"/>
    <x v="0"/>
    <s v="11B"/>
    <x v="14"/>
    <n v="1"/>
    <n v="7"/>
    <x v="0"/>
    <x v="0"/>
  </r>
  <r>
    <n v="13597"/>
    <n v="116863788"/>
    <s v="Recovery"/>
    <n v="200"/>
    <s v="AHY"/>
    <s v="M"/>
    <n v="12"/>
    <n v="2016"/>
    <n v="2016"/>
    <n v="12"/>
    <x v="0"/>
    <s v="12B"/>
    <x v="12"/>
    <n v="1"/>
    <n v="7"/>
    <x v="0"/>
    <x v="0"/>
  </r>
  <r>
    <n v="13614"/>
    <n v="116863805"/>
    <s v="Recovery"/>
    <n v="200"/>
    <s v="AHY"/>
    <s v="F"/>
    <n v="1"/>
    <n v="2017"/>
    <n v="2016"/>
    <n v="12"/>
    <x v="0"/>
    <s v="12B"/>
    <x v="12"/>
    <n v="1"/>
    <n v="7"/>
    <x v="0"/>
    <x v="0"/>
  </r>
  <r>
    <n v="13618"/>
    <n v="116863809"/>
    <s v="Recovery"/>
    <n v="200"/>
    <s v="AHY"/>
    <s v="F"/>
    <n v="11"/>
    <n v="2020"/>
    <n v="2020"/>
    <n v="16"/>
    <x v="0"/>
    <s v="16B"/>
    <x v="15"/>
    <n v="1"/>
    <n v="7"/>
    <x v="0"/>
    <x v="0"/>
  </r>
  <r>
    <n v="13619"/>
    <n v="116863810"/>
    <s v="Recovery"/>
    <n v="200"/>
    <s v="AHY"/>
    <s v="F"/>
    <n v="9"/>
    <n v="2018"/>
    <n v="2018"/>
    <n v="14"/>
    <x v="0"/>
    <s v="14B"/>
    <x v="10"/>
    <n v="1"/>
    <n v="7"/>
    <x v="0"/>
    <x v="0"/>
  </r>
  <r>
    <n v="13625"/>
    <n v="116863816"/>
    <s v="Recovery"/>
    <n v="200"/>
    <s v="AHY"/>
    <s v="M"/>
    <n v="9"/>
    <n v="2019"/>
    <n v="2019"/>
    <n v="15"/>
    <x v="0"/>
    <s v="15B"/>
    <x v="11"/>
    <n v="1"/>
    <n v="7"/>
    <x v="0"/>
    <x v="0"/>
  </r>
  <r>
    <n v="13632"/>
    <n v="116863823"/>
    <s v="Recovery"/>
    <n v="200"/>
    <s v="HY"/>
    <s v="M"/>
    <n v="1"/>
    <n v="2016"/>
    <n v="2015"/>
    <n v="11"/>
    <x v="0"/>
    <s v="11B"/>
    <x v="14"/>
    <n v="1"/>
    <n v="7"/>
    <x v="0"/>
    <x v="0"/>
  </r>
  <r>
    <n v="13633"/>
    <n v="116863824"/>
    <s v="Recovery"/>
    <n v="200"/>
    <s v="AHY"/>
    <s v="M"/>
    <n v="1"/>
    <n v="2017"/>
    <n v="2016"/>
    <n v="12"/>
    <x v="0"/>
    <s v="12B"/>
    <x v="12"/>
    <n v="1"/>
    <n v="51"/>
    <x v="21"/>
    <x v="1"/>
  </r>
  <r>
    <n v="13634"/>
    <n v="116863825"/>
    <s v="Recovery"/>
    <n v="200"/>
    <s v="AHY"/>
    <s v="F"/>
    <n v="1"/>
    <n v="2018"/>
    <n v="2017"/>
    <n v="13"/>
    <x v="0"/>
    <s v="13B"/>
    <x v="13"/>
    <n v="1"/>
    <n v="7"/>
    <x v="0"/>
    <x v="0"/>
  </r>
  <r>
    <n v="13637"/>
    <n v="116863828"/>
    <s v="Recovery"/>
    <n v="200"/>
    <s v="AHY"/>
    <s v="F"/>
    <n v="9"/>
    <n v="2017"/>
    <n v="2017"/>
    <n v="13"/>
    <x v="0"/>
    <s v="13B"/>
    <x v="13"/>
    <n v="1"/>
    <n v="7"/>
    <x v="0"/>
    <x v="0"/>
  </r>
  <r>
    <n v="13640"/>
    <n v="116863831"/>
    <s v="Recovery"/>
    <n v="200"/>
    <s v="AHY"/>
    <s v="F"/>
    <n v="1"/>
    <n v="2020"/>
    <n v="2019"/>
    <n v="15"/>
    <x v="0"/>
    <s v="15B"/>
    <x v="11"/>
    <n v="1"/>
    <n v="7"/>
    <x v="0"/>
    <x v="0"/>
  </r>
  <r>
    <n v="13642"/>
    <n v="116863833"/>
    <s v="Recovery"/>
    <n v="200"/>
    <s v="AHY"/>
    <s v="M"/>
    <n v="2"/>
    <n v="2017"/>
    <n v="2016"/>
    <n v="12"/>
    <x v="0"/>
    <s v="12B"/>
    <x v="12"/>
    <n v="1"/>
    <n v="7"/>
    <x v="0"/>
    <x v="0"/>
  </r>
  <r>
    <n v="13646"/>
    <n v="116863837"/>
    <s v="Recovery"/>
    <n v="200"/>
    <s v="AHY"/>
    <s v="M"/>
    <n v="9"/>
    <n v="2017"/>
    <n v="2017"/>
    <n v="13"/>
    <x v="0"/>
    <s v="13B"/>
    <x v="13"/>
    <n v="1"/>
    <n v="7"/>
    <x v="0"/>
    <x v="0"/>
  </r>
  <r>
    <n v="13650"/>
    <n v="116863841"/>
    <s v="Recovery"/>
    <n v="200"/>
    <s v="AHY"/>
    <s v="M"/>
    <n v="1"/>
    <n v="2016"/>
    <n v="2015"/>
    <n v="11"/>
    <x v="0"/>
    <s v="11B"/>
    <x v="14"/>
    <n v="1"/>
    <n v="7"/>
    <x v="0"/>
    <x v="0"/>
  </r>
  <r>
    <n v="13653"/>
    <n v="116863844"/>
    <s v="Recovery"/>
    <n v="200"/>
    <s v="AHY"/>
    <s v="F"/>
    <n v="1"/>
    <n v="2016"/>
    <n v="2015"/>
    <n v="11"/>
    <x v="0"/>
    <s v="11B"/>
    <x v="14"/>
    <n v="1"/>
    <n v="7"/>
    <x v="0"/>
    <x v="0"/>
  </r>
  <r>
    <n v="13662"/>
    <n v="116863853"/>
    <s v="Recovery"/>
    <n v="200"/>
    <s v="AHY"/>
    <s v="M"/>
    <n v="9"/>
    <n v="2016"/>
    <n v="2016"/>
    <n v="12"/>
    <x v="0"/>
    <s v="12B"/>
    <x v="12"/>
    <n v="1"/>
    <n v="7"/>
    <x v="0"/>
    <x v="0"/>
  </r>
  <r>
    <n v="13665"/>
    <n v="116863856"/>
    <s v="Recovery"/>
    <n v="200"/>
    <s v="AHY"/>
    <s v="F"/>
    <n v="1"/>
    <n v="2016"/>
    <n v="2015"/>
    <n v="11"/>
    <x v="0"/>
    <s v="11B"/>
    <x v="14"/>
    <n v="1"/>
    <n v="7"/>
    <x v="0"/>
    <x v="0"/>
  </r>
  <r>
    <n v="13667"/>
    <n v="116863858"/>
    <s v="Recovery"/>
    <n v="200"/>
    <s v="AHY"/>
    <s v="M"/>
    <n v="9"/>
    <n v="2016"/>
    <n v="2016"/>
    <n v="12"/>
    <x v="0"/>
    <s v="12B"/>
    <x v="12"/>
    <n v="1"/>
    <n v="7"/>
    <x v="0"/>
    <x v="0"/>
  </r>
  <r>
    <n v="13672"/>
    <n v="116863863"/>
    <s v="Recovery"/>
    <n v="200"/>
    <s v="AHY"/>
    <s v="F"/>
    <n v="11"/>
    <n v="2017"/>
    <n v="2017"/>
    <n v="13"/>
    <x v="0"/>
    <s v="13B"/>
    <x v="13"/>
    <n v="1"/>
    <n v="7"/>
    <x v="0"/>
    <x v="0"/>
  </r>
  <r>
    <n v="13691"/>
    <n v="116863883"/>
    <s v="Recovery"/>
    <n v="200"/>
    <s v="AHY"/>
    <s v="M"/>
    <n v="1"/>
    <n v="2016"/>
    <n v="2015"/>
    <n v="11"/>
    <x v="0"/>
    <s v="11B"/>
    <x v="14"/>
    <n v="1"/>
    <n v="7"/>
    <x v="0"/>
    <x v="0"/>
  </r>
  <r>
    <n v="13693"/>
    <n v="116863885"/>
    <s v="Recovery"/>
    <n v="200"/>
    <s v="AHY"/>
    <s v="F"/>
    <n v="1"/>
    <n v="2016"/>
    <n v="2015"/>
    <n v="11"/>
    <x v="0"/>
    <s v="11B"/>
    <x v="14"/>
    <n v="1"/>
    <n v="7"/>
    <x v="0"/>
    <x v="0"/>
  </r>
  <r>
    <n v="13694"/>
    <n v="116863886"/>
    <s v="Recovery"/>
    <n v="200"/>
    <s v="AHY"/>
    <s v="F"/>
    <n v="1"/>
    <n v="2019"/>
    <n v="2018"/>
    <n v="14"/>
    <x v="0"/>
    <s v="14B"/>
    <x v="10"/>
    <n v="1"/>
    <n v="7"/>
    <x v="0"/>
    <x v="0"/>
  </r>
  <r>
    <n v="13704"/>
    <n v="116863896"/>
    <s v="Recovery"/>
    <n v="200"/>
    <s v="AHY"/>
    <s v="F"/>
    <n v="1"/>
    <n v="2018"/>
    <n v="2017"/>
    <n v="13"/>
    <x v="0"/>
    <s v="13B"/>
    <x v="13"/>
    <n v="1"/>
    <n v="7"/>
    <x v="0"/>
    <x v="0"/>
  </r>
  <r>
    <n v="13741"/>
    <n v="116863933"/>
    <s v="Recovery"/>
    <n v="200"/>
    <s v="AHY"/>
    <s v="F"/>
    <n v="9"/>
    <n v="2016"/>
    <n v="2016"/>
    <n v="12"/>
    <x v="0"/>
    <s v="12B"/>
    <x v="12"/>
    <n v="1"/>
    <n v="7"/>
    <x v="0"/>
    <x v="0"/>
  </r>
  <r>
    <n v="13757"/>
    <n v="116863949"/>
    <s v="Recovery"/>
    <n v="200"/>
    <s v="AHY"/>
    <s v="M"/>
    <n v="9"/>
    <n v="2016"/>
    <n v="2016"/>
    <n v="12"/>
    <x v="0"/>
    <s v="12B"/>
    <x v="12"/>
    <n v="1"/>
    <n v="7"/>
    <x v="0"/>
    <x v="0"/>
  </r>
  <r>
    <n v="13759"/>
    <n v="116863951"/>
    <s v="Recovery"/>
    <n v="200"/>
    <s v="AHY"/>
    <s v="M"/>
    <n v="1"/>
    <n v="2016"/>
    <n v="2015"/>
    <n v="11"/>
    <x v="0"/>
    <s v="11B"/>
    <x v="14"/>
    <n v="1"/>
    <n v="52"/>
    <x v="11"/>
    <x v="1"/>
  </r>
  <r>
    <n v="13784"/>
    <n v="116863976"/>
    <s v="Recovery"/>
    <n v="200"/>
    <s v="AHY"/>
    <s v="F"/>
    <n v="9"/>
    <n v="2016"/>
    <n v="2016"/>
    <n v="12"/>
    <x v="0"/>
    <s v="12B"/>
    <x v="12"/>
    <n v="1"/>
    <n v="7"/>
    <x v="0"/>
    <x v="0"/>
  </r>
  <r>
    <n v="13786"/>
    <n v="116863978"/>
    <s v="Recovery"/>
    <n v="200"/>
    <s v="AHY"/>
    <s v="M"/>
    <n v="1"/>
    <n v="2016"/>
    <n v="2015"/>
    <n v="11"/>
    <x v="0"/>
    <s v="11B"/>
    <x v="14"/>
    <n v="1"/>
    <n v="7"/>
    <x v="0"/>
    <x v="0"/>
  </r>
  <r>
    <n v="13793"/>
    <n v="116863985"/>
    <s v="Recovery"/>
    <n v="200"/>
    <s v="AHY"/>
    <s v="M"/>
    <n v="1"/>
    <n v="2016"/>
    <n v="2015"/>
    <n v="11"/>
    <x v="0"/>
    <s v="11B"/>
    <x v="14"/>
    <n v="1"/>
    <n v="7"/>
    <x v="0"/>
    <x v="0"/>
  </r>
  <r>
    <n v="13796"/>
    <n v="116863988"/>
    <s v="Recovery"/>
    <n v="200"/>
    <s v="AHY"/>
    <s v="F"/>
    <n v="9"/>
    <n v="2015"/>
    <n v="2015"/>
    <n v="11"/>
    <x v="0"/>
    <s v="11B"/>
    <x v="14"/>
    <n v="1"/>
    <n v="7"/>
    <x v="0"/>
    <x v="0"/>
  </r>
  <r>
    <n v="13803"/>
    <n v="116863995"/>
    <s v="Recovery"/>
    <n v="200"/>
    <s v="AHY"/>
    <s v="F"/>
    <n v="9"/>
    <n v="2020"/>
    <n v="2020"/>
    <n v="16"/>
    <x v="0"/>
    <s v="16B"/>
    <x v="15"/>
    <n v="1"/>
    <n v="7"/>
    <x v="0"/>
    <x v="0"/>
  </r>
  <r>
    <n v="13806"/>
    <n v="116863998"/>
    <s v="Recovery"/>
    <n v="200"/>
    <s v="AHY"/>
    <s v="M"/>
    <n v="1"/>
    <n v="2018"/>
    <n v="2017"/>
    <n v="13"/>
    <x v="0"/>
    <s v="13B"/>
    <x v="13"/>
    <n v="1"/>
    <n v="7"/>
    <x v="0"/>
    <x v="0"/>
  </r>
  <r>
    <n v="13809"/>
    <n v="116864001"/>
    <s v="Recovery"/>
    <n v="200"/>
    <s v="AHY"/>
    <s v="M"/>
    <n v="9"/>
    <n v="2018"/>
    <n v="2018"/>
    <n v="14"/>
    <x v="0"/>
    <s v="14B"/>
    <x v="10"/>
    <n v="1"/>
    <n v="7"/>
    <x v="0"/>
    <x v="0"/>
  </r>
  <r>
    <n v="13815"/>
    <n v="116864007"/>
    <s v="Recovery"/>
    <n v="200"/>
    <s v="AHY"/>
    <s v="F"/>
    <n v="1"/>
    <n v="2017"/>
    <n v="2016"/>
    <n v="12"/>
    <x v="0"/>
    <s v="12B"/>
    <x v="12"/>
    <n v="1"/>
    <n v="7"/>
    <x v="0"/>
    <x v="0"/>
  </r>
  <r>
    <n v="13820"/>
    <n v="116864012"/>
    <s v="Recovery"/>
    <n v="200"/>
    <s v="AHY"/>
    <s v="F"/>
    <n v="9"/>
    <n v="2018"/>
    <n v="2018"/>
    <n v="14"/>
    <x v="0"/>
    <s v="14B"/>
    <x v="10"/>
    <n v="1"/>
    <n v="7"/>
    <x v="0"/>
    <x v="0"/>
  </r>
  <r>
    <n v="13821"/>
    <n v="116864013"/>
    <s v="Recovery"/>
    <n v="200"/>
    <s v="AHY"/>
    <s v="F"/>
    <n v="1"/>
    <n v="2017"/>
    <n v="2016"/>
    <n v="12"/>
    <x v="0"/>
    <s v="12B"/>
    <x v="12"/>
    <n v="1"/>
    <n v="7"/>
    <x v="0"/>
    <x v="0"/>
  </r>
  <r>
    <n v="13826"/>
    <n v="116864018"/>
    <s v="Recovery"/>
    <n v="200"/>
    <s v="AHY"/>
    <s v="M"/>
    <n v="9"/>
    <n v="2020"/>
    <n v="2020"/>
    <n v="16"/>
    <x v="0"/>
    <s v="16B"/>
    <x v="15"/>
    <n v="1"/>
    <n v="7"/>
    <x v="0"/>
    <x v="0"/>
  </r>
  <r>
    <n v="13829"/>
    <n v="116864021"/>
    <s v="Recovery"/>
    <n v="200"/>
    <s v="AHY"/>
    <s v="F"/>
    <n v="9"/>
    <n v="2017"/>
    <n v="2017"/>
    <n v="13"/>
    <x v="0"/>
    <s v="13B"/>
    <x v="13"/>
    <n v="1"/>
    <n v="7"/>
    <x v="0"/>
    <x v="0"/>
  </r>
  <r>
    <n v="13833"/>
    <n v="116864025"/>
    <s v="Recovery"/>
    <n v="200"/>
    <s v="AHY"/>
    <s v="M"/>
    <n v="1"/>
    <n v="2017"/>
    <n v="2016"/>
    <n v="12"/>
    <x v="0"/>
    <s v="12B"/>
    <x v="12"/>
    <n v="1"/>
    <n v="7"/>
    <x v="0"/>
    <x v="0"/>
  </r>
  <r>
    <n v="13839"/>
    <n v="116864031"/>
    <s v="Recovery"/>
    <n v="200"/>
    <s v="AHY"/>
    <s v="F"/>
    <n v="11"/>
    <n v="2018"/>
    <n v="2018"/>
    <n v="14"/>
    <x v="0"/>
    <s v="14B"/>
    <x v="10"/>
    <n v="1"/>
    <n v="52"/>
    <x v="11"/>
    <x v="1"/>
  </r>
  <r>
    <n v="13840"/>
    <n v="116864032"/>
    <s v="Recovery"/>
    <n v="200"/>
    <s v="AHY"/>
    <s v="M"/>
    <n v="1"/>
    <n v="2016"/>
    <n v="2015"/>
    <n v="11"/>
    <x v="0"/>
    <s v="11B"/>
    <x v="14"/>
    <n v="1"/>
    <n v="7"/>
    <x v="0"/>
    <x v="0"/>
  </r>
  <r>
    <n v="13843"/>
    <n v="116864035"/>
    <s v="Recovery"/>
    <n v="200"/>
    <s v="AHY"/>
    <s v="F"/>
    <n v="1"/>
    <n v="2017"/>
    <n v="2016"/>
    <n v="12"/>
    <x v="0"/>
    <s v="12B"/>
    <x v="12"/>
    <n v="1"/>
    <n v="7"/>
    <x v="0"/>
    <x v="0"/>
  </r>
  <r>
    <n v="13845"/>
    <n v="116864037"/>
    <s v="Recovery"/>
    <n v="200"/>
    <s v="AHY"/>
    <s v="F"/>
    <n v="9"/>
    <n v="2017"/>
    <n v="2017"/>
    <n v="13"/>
    <x v="0"/>
    <s v="13B"/>
    <x v="13"/>
    <n v="1"/>
    <n v="7"/>
    <x v="0"/>
    <x v="0"/>
  </r>
  <r>
    <n v="13846"/>
    <n v="116864038"/>
    <s v="Recovery"/>
    <n v="200"/>
    <s v="AHY"/>
    <s v="M"/>
    <n v="1"/>
    <n v="2017"/>
    <n v="2016"/>
    <n v="12"/>
    <x v="0"/>
    <s v="12B"/>
    <x v="12"/>
    <n v="1"/>
    <n v="7"/>
    <x v="0"/>
    <x v="0"/>
  </r>
  <r>
    <n v="13859"/>
    <n v="116864051"/>
    <s v="Recovery"/>
    <n v="200"/>
    <s v="AHY"/>
    <s v="M"/>
    <n v="9"/>
    <n v="2017"/>
    <n v="2017"/>
    <n v="13"/>
    <x v="0"/>
    <s v="13B"/>
    <x v="13"/>
    <n v="1"/>
    <n v="7"/>
    <x v="0"/>
    <x v="0"/>
  </r>
  <r>
    <n v="13862"/>
    <n v="116864054"/>
    <s v="Recovery"/>
    <n v="200"/>
    <s v="AHY"/>
    <s v="F"/>
    <n v="9"/>
    <n v="2020"/>
    <n v="2020"/>
    <n v="16"/>
    <x v="0"/>
    <s v="16B"/>
    <x v="15"/>
    <n v="1"/>
    <n v="7"/>
    <x v="0"/>
    <x v="0"/>
  </r>
  <r>
    <n v="13863"/>
    <n v="116864055"/>
    <s v="Recovery"/>
    <n v="200"/>
    <s v="AHY"/>
    <s v="M"/>
    <n v="1"/>
    <n v="2020"/>
    <n v="2019"/>
    <n v="15"/>
    <x v="0"/>
    <s v="15B"/>
    <x v="11"/>
    <n v="1"/>
    <n v="7"/>
    <x v="0"/>
    <x v="0"/>
  </r>
  <r>
    <n v="13868"/>
    <n v="116864060"/>
    <s v="Recovery"/>
    <n v="200"/>
    <s v="AHY"/>
    <s v="M"/>
    <n v="9"/>
    <n v="2015"/>
    <n v="2015"/>
    <n v="11"/>
    <x v="0"/>
    <s v="11B"/>
    <x v="14"/>
    <n v="1"/>
    <n v="7"/>
    <x v="0"/>
    <x v="0"/>
  </r>
  <r>
    <n v="13883"/>
    <n v="116864075"/>
    <s v="Recovery"/>
    <n v="200"/>
    <s v="AHY"/>
    <s v="F"/>
    <n v="9"/>
    <n v="2019"/>
    <n v="2019"/>
    <n v="15"/>
    <x v="0"/>
    <s v="15B"/>
    <x v="11"/>
    <n v="1"/>
    <n v="7"/>
    <x v="0"/>
    <x v="0"/>
  </r>
  <r>
    <n v="13884"/>
    <n v="116864076"/>
    <s v="Recovery"/>
    <n v="200"/>
    <s v="AHY"/>
    <s v="M"/>
    <n v="9"/>
    <n v="2019"/>
    <n v="2019"/>
    <n v="15"/>
    <x v="0"/>
    <s v="15B"/>
    <x v="11"/>
    <n v="1"/>
    <n v="7"/>
    <x v="0"/>
    <x v="0"/>
  </r>
  <r>
    <n v="13887"/>
    <n v="116864079"/>
    <s v="Recovery"/>
    <n v="200"/>
    <s v="HY"/>
    <s v="F"/>
    <n v="9"/>
    <n v="2015"/>
    <n v="2015"/>
    <n v="11"/>
    <x v="0"/>
    <s v="11B"/>
    <x v="14"/>
    <n v="1"/>
    <n v="7"/>
    <x v="0"/>
    <x v="0"/>
  </r>
  <r>
    <n v="13888"/>
    <n v="116864080"/>
    <s v="Recovery"/>
    <n v="200"/>
    <s v="AHY"/>
    <s v="M"/>
    <n v="9"/>
    <n v="2016"/>
    <n v="2016"/>
    <n v="12"/>
    <x v="0"/>
    <s v="12B"/>
    <x v="12"/>
    <n v="1"/>
    <n v="7"/>
    <x v="0"/>
    <x v="0"/>
  </r>
  <r>
    <n v="13896"/>
    <n v="116864271"/>
    <s v="Recovery"/>
    <n v="200"/>
    <s v="AHY"/>
    <s v="M"/>
    <n v="1"/>
    <n v="2018"/>
    <n v="2017"/>
    <n v="13"/>
    <x v="0"/>
    <s v="13B"/>
    <x v="13"/>
    <n v="1"/>
    <n v="83"/>
    <x v="18"/>
    <x v="1"/>
  </r>
  <r>
    <n v="13905"/>
    <n v="116864280"/>
    <s v="Recovery"/>
    <n v="200"/>
    <s v="AHY"/>
    <s v="F"/>
    <n v="1"/>
    <n v="2019"/>
    <n v="2018"/>
    <n v="14"/>
    <x v="0"/>
    <s v="14B"/>
    <x v="10"/>
    <n v="1"/>
    <n v="7"/>
    <x v="0"/>
    <x v="0"/>
  </r>
  <r>
    <n v="13908"/>
    <n v="116864283"/>
    <s v="Recovery"/>
    <n v="200"/>
    <s v="AHY"/>
    <s v="M"/>
    <n v="1"/>
    <n v="2018"/>
    <n v="2017"/>
    <n v="13"/>
    <x v="0"/>
    <s v="13B"/>
    <x v="13"/>
    <n v="1"/>
    <n v="7"/>
    <x v="0"/>
    <x v="0"/>
  </r>
  <r>
    <n v="13912"/>
    <n v="116864287"/>
    <s v="Recovery"/>
    <n v="200"/>
    <s v="AHY"/>
    <s v="M"/>
    <n v="1"/>
    <n v="2016"/>
    <n v="2015"/>
    <n v="11"/>
    <x v="0"/>
    <s v="11B"/>
    <x v="14"/>
    <n v="1"/>
    <n v="7"/>
    <x v="0"/>
    <x v="0"/>
  </r>
  <r>
    <n v="13916"/>
    <n v="116864291"/>
    <s v="Recovery"/>
    <n v="200"/>
    <s v="AHY"/>
    <s v="M"/>
    <n v="1"/>
    <n v="2018"/>
    <n v="2017"/>
    <n v="13"/>
    <x v="0"/>
    <s v="13B"/>
    <x v="13"/>
    <n v="1"/>
    <n v="7"/>
    <x v="0"/>
    <x v="0"/>
  </r>
  <r>
    <n v="13922"/>
    <n v="116864297"/>
    <s v="Recovery"/>
    <n v="200"/>
    <s v="AHY"/>
    <s v="F"/>
    <n v="1"/>
    <n v="2017"/>
    <n v="2016"/>
    <n v="12"/>
    <x v="0"/>
    <s v="12B"/>
    <x v="12"/>
    <n v="1"/>
    <n v="7"/>
    <x v="0"/>
    <x v="0"/>
  </r>
  <r>
    <n v="13923"/>
    <n v="116864298"/>
    <s v="Recovery"/>
    <n v="200"/>
    <s v="AHY"/>
    <s v="F"/>
    <n v="9"/>
    <n v="2015"/>
    <n v="2015"/>
    <n v="11"/>
    <x v="0"/>
    <s v="11B"/>
    <x v="14"/>
    <n v="1"/>
    <n v="7"/>
    <x v="0"/>
    <x v="0"/>
  </r>
  <r>
    <n v="13928"/>
    <n v="116864303"/>
    <s v="Recovery"/>
    <n v="200"/>
    <s v="HY"/>
    <s v="M"/>
    <n v="12"/>
    <n v="2015"/>
    <n v="2015"/>
    <n v="11"/>
    <x v="0"/>
    <s v="11B"/>
    <x v="14"/>
    <n v="1"/>
    <n v="7"/>
    <x v="0"/>
    <x v="0"/>
  </r>
  <r>
    <n v="13933"/>
    <n v="116864308"/>
    <s v="Recovery"/>
    <n v="200"/>
    <s v="AHY"/>
    <s v="F"/>
    <n v="1"/>
    <n v="2017"/>
    <n v="2016"/>
    <n v="12"/>
    <x v="0"/>
    <s v="12B"/>
    <x v="12"/>
    <n v="1"/>
    <n v="7"/>
    <x v="0"/>
    <x v="0"/>
  </r>
  <r>
    <n v="13953"/>
    <n v="116864328"/>
    <s v="Recovery"/>
    <n v="200"/>
    <s v="AHY"/>
    <s v="M"/>
    <n v="1"/>
    <n v="2018"/>
    <n v="2017"/>
    <n v="13"/>
    <x v="0"/>
    <s v="13B"/>
    <x v="13"/>
    <n v="1"/>
    <n v="7"/>
    <x v="0"/>
    <x v="0"/>
  </r>
  <r>
    <n v="13978"/>
    <n v="116864353"/>
    <s v="Recovery"/>
    <n v="200"/>
    <s v="AHY"/>
    <s v="M"/>
    <n v="1"/>
    <n v="2017"/>
    <n v="2016"/>
    <n v="12"/>
    <x v="0"/>
    <s v="12B"/>
    <x v="12"/>
    <n v="1"/>
    <n v="7"/>
    <x v="0"/>
    <x v="0"/>
  </r>
  <r>
    <n v="13981"/>
    <n v="116864356"/>
    <s v="Recovery"/>
    <n v="200"/>
    <s v="AHY"/>
    <s v="F"/>
    <n v="1"/>
    <n v="2018"/>
    <n v="2017"/>
    <n v="13"/>
    <x v="0"/>
    <s v="13B"/>
    <x v="13"/>
    <n v="1"/>
    <n v="7"/>
    <x v="0"/>
    <x v="0"/>
  </r>
  <r>
    <n v="14000"/>
    <n v="116864375"/>
    <s v="Recovery"/>
    <n v="200"/>
    <s v="AHY"/>
    <s v="F"/>
    <n v="9"/>
    <n v="2016"/>
    <n v="2016"/>
    <n v="12"/>
    <x v="0"/>
    <s v="12B"/>
    <x v="12"/>
    <n v="1"/>
    <n v="7"/>
    <x v="0"/>
    <x v="0"/>
  </r>
  <r>
    <n v="14007"/>
    <n v="116864382"/>
    <s v="Recovery"/>
    <n v="200"/>
    <s v="AHY"/>
    <s v="F"/>
    <n v="12"/>
    <n v="2017"/>
    <n v="2017"/>
    <n v="13"/>
    <x v="0"/>
    <s v="13B"/>
    <x v="13"/>
    <n v="1"/>
    <n v="7"/>
    <x v="0"/>
    <x v="0"/>
  </r>
  <r>
    <n v="14011"/>
    <n v="116864386"/>
    <s v="Recovery"/>
    <n v="200"/>
    <s v="AHY"/>
    <s v="F"/>
    <n v="1"/>
    <n v="2017"/>
    <n v="2016"/>
    <n v="12"/>
    <x v="0"/>
    <s v="12B"/>
    <x v="12"/>
    <n v="1"/>
    <n v="7"/>
    <x v="0"/>
    <x v="0"/>
  </r>
  <r>
    <n v="14014"/>
    <n v="116864389"/>
    <s v="Recovery"/>
    <n v="200"/>
    <s v="AHY"/>
    <s v="M"/>
    <n v="1"/>
    <n v="2016"/>
    <n v="2015"/>
    <n v="11"/>
    <x v="0"/>
    <s v="11B"/>
    <x v="14"/>
    <n v="1"/>
    <n v="7"/>
    <x v="0"/>
    <x v="0"/>
  </r>
  <r>
    <n v="14018"/>
    <n v="116864393"/>
    <s v="Recovery"/>
    <n v="200"/>
    <s v="AHY"/>
    <s v="F"/>
    <n v="9"/>
    <n v="2017"/>
    <n v="2017"/>
    <n v="13"/>
    <x v="0"/>
    <s v="13B"/>
    <x v="13"/>
    <n v="1"/>
    <n v="83"/>
    <x v="18"/>
    <x v="1"/>
  </r>
  <r>
    <n v="14019"/>
    <n v="116864394"/>
    <s v="Recovery"/>
    <n v="200"/>
    <s v="AHY"/>
    <s v="M"/>
    <n v="12"/>
    <n v="2015"/>
    <n v="2015"/>
    <n v="11"/>
    <x v="0"/>
    <s v="11B"/>
    <x v="14"/>
    <n v="1"/>
    <n v="7"/>
    <x v="0"/>
    <x v="0"/>
  </r>
  <r>
    <n v="14021"/>
    <n v="116864396"/>
    <s v="Recovery"/>
    <n v="200"/>
    <s v="AHY"/>
    <s v="M"/>
    <n v="1"/>
    <n v="2017"/>
    <n v="2016"/>
    <n v="12"/>
    <x v="0"/>
    <s v="12B"/>
    <x v="12"/>
    <n v="1"/>
    <n v="7"/>
    <x v="0"/>
    <x v="0"/>
  </r>
  <r>
    <n v="14022"/>
    <n v="116864397"/>
    <s v="Recovery"/>
    <n v="200"/>
    <s v="AHY"/>
    <s v="F"/>
    <n v="1"/>
    <n v="2017"/>
    <n v="2016"/>
    <n v="12"/>
    <x v="0"/>
    <s v="12B"/>
    <x v="12"/>
    <n v="1"/>
    <n v="7"/>
    <x v="0"/>
    <x v="0"/>
  </r>
  <r>
    <n v="14024"/>
    <n v="116864399"/>
    <s v="Recovery"/>
    <n v="200"/>
    <s v="AHY"/>
    <s v="F"/>
    <n v="11"/>
    <n v="2017"/>
    <n v="2017"/>
    <n v="13"/>
    <x v="0"/>
    <s v="13B"/>
    <x v="13"/>
    <n v="1"/>
    <n v="7"/>
    <x v="0"/>
    <x v="0"/>
  </r>
  <r>
    <n v="14028"/>
    <n v="116864403"/>
    <s v="Recovery"/>
    <n v="200"/>
    <s v="AHY"/>
    <s v="F"/>
    <n v="1"/>
    <n v="2018"/>
    <n v="2017"/>
    <n v="13"/>
    <x v="0"/>
    <s v="13B"/>
    <x v="13"/>
    <n v="1"/>
    <n v="7"/>
    <x v="0"/>
    <x v="0"/>
  </r>
  <r>
    <n v="14032"/>
    <n v="116864407"/>
    <s v="Recovery"/>
    <n v="200"/>
    <s v="AHY"/>
    <s v="F"/>
    <n v="1"/>
    <n v="2018"/>
    <n v="2017"/>
    <n v="13"/>
    <x v="0"/>
    <s v="13B"/>
    <x v="13"/>
    <n v="1"/>
    <n v="7"/>
    <x v="0"/>
    <x v="0"/>
  </r>
  <r>
    <n v="14033"/>
    <n v="116864408"/>
    <s v="Recovery"/>
    <n v="200"/>
    <s v="HY"/>
    <s v="F"/>
    <n v="1"/>
    <n v="2016"/>
    <n v="2015"/>
    <n v="11"/>
    <x v="0"/>
    <s v="11B"/>
    <x v="14"/>
    <n v="1"/>
    <n v="7"/>
    <x v="0"/>
    <x v="0"/>
  </r>
  <r>
    <n v="14037"/>
    <n v="116864412"/>
    <s v="Recovery"/>
    <n v="200"/>
    <s v="AHY"/>
    <s v="M"/>
    <n v="11"/>
    <n v="2016"/>
    <n v="2016"/>
    <n v="12"/>
    <x v="0"/>
    <s v="12B"/>
    <x v="12"/>
    <n v="1"/>
    <n v="7"/>
    <x v="0"/>
    <x v="0"/>
  </r>
  <r>
    <n v="14046"/>
    <n v="116812901"/>
    <s v="Recovery"/>
    <n v="200"/>
    <s v="AHY"/>
    <s v="M"/>
    <n v="12"/>
    <n v="2019"/>
    <n v="2019"/>
    <n v="15"/>
    <x v="0"/>
    <s v="15B"/>
    <x v="11"/>
    <n v="1"/>
    <n v="7"/>
    <x v="0"/>
    <x v="0"/>
  </r>
  <r>
    <n v="14047"/>
    <n v="116812902"/>
    <s v="Recovery"/>
    <n v="200"/>
    <s v="AHY"/>
    <s v="M"/>
    <n v="9"/>
    <n v="2018"/>
    <n v="2018"/>
    <n v="14"/>
    <x v="0"/>
    <s v="14B"/>
    <x v="10"/>
    <n v="1"/>
    <n v="7"/>
    <x v="0"/>
    <x v="0"/>
  </r>
  <r>
    <n v="14052"/>
    <n v="116812907"/>
    <s v="Recovery"/>
    <n v="200"/>
    <s v="AHY"/>
    <s v="F"/>
    <n v="1"/>
    <n v="2019"/>
    <n v="2018"/>
    <n v="14"/>
    <x v="0"/>
    <s v="14B"/>
    <x v="10"/>
    <n v="1"/>
    <n v="7"/>
    <x v="0"/>
    <x v="0"/>
  </r>
  <r>
    <n v="14054"/>
    <n v="116812909"/>
    <s v="Recovery"/>
    <n v="200"/>
    <s v="HY"/>
    <s v="M"/>
    <n v="9"/>
    <n v="2016"/>
    <n v="2016"/>
    <n v="12"/>
    <x v="0"/>
    <s v="12B"/>
    <x v="12"/>
    <n v="1"/>
    <n v="7"/>
    <x v="0"/>
    <x v="0"/>
  </r>
  <r>
    <n v="14064"/>
    <n v="116812919"/>
    <s v="Recovery"/>
    <n v="200"/>
    <s v="AHY"/>
    <s v="M"/>
    <n v="1"/>
    <n v="2019"/>
    <n v="2018"/>
    <n v="14"/>
    <x v="0"/>
    <s v="14B"/>
    <x v="10"/>
    <n v="1"/>
    <n v="7"/>
    <x v="0"/>
    <x v="0"/>
  </r>
  <r>
    <n v="14066"/>
    <n v="116812921"/>
    <s v="Recovery"/>
    <n v="200"/>
    <s v="AHY"/>
    <s v="F"/>
    <n v="1"/>
    <n v="2017"/>
    <n v="2016"/>
    <n v="12"/>
    <x v="0"/>
    <s v="12B"/>
    <x v="12"/>
    <n v="1"/>
    <n v="7"/>
    <x v="0"/>
    <x v="0"/>
  </r>
  <r>
    <n v="14069"/>
    <n v="116812924"/>
    <s v="Recovery"/>
    <n v="200"/>
    <s v="AHY"/>
    <s v="F"/>
    <n v="9"/>
    <n v="2019"/>
    <n v="2019"/>
    <n v="15"/>
    <x v="0"/>
    <s v="15B"/>
    <x v="11"/>
    <n v="1"/>
    <n v="7"/>
    <x v="0"/>
    <x v="0"/>
  </r>
  <r>
    <n v="14070"/>
    <n v="116812925"/>
    <s v="Recovery"/>
    <n v="200"/>
    <s v="AHY"/>
    <s v="F"/>
    <n v="1"/>
    <n v="2019"/>
    <n v="2018"/>
    <n v="14"/>
    <x v="0"/>
    <s v="14B"/>
    <x v="10"/>
    <n v="1"/>
    <n v="34"/>
    <x v="9"/>
    <x v="1"/>
  </r>
  <r>
    <n v="14073"/>
    <n v="116812928"/>
    <s v="Recovery"/>
    <n v="200"/>
    <s v="AHY"/>
    <s v="M"/>
    <n v="1"/>
    <n v="2019"/>
    <n v="2018"/>
    <n v="14"/>
    <x v="0"/>
    <s v="14B"/>
    <x v="10"/>
    <n v="1"/>
    <n v="7"/>
    <x v="0"/>
    <x v="0"/>
  </r>
  <r>
    <n v="14076"/>
    <n v="116812931"/>
    <s v="Recovery"/>
    <n v="200"/>
    <s v="AHY"/>
    <s v="M"/>
    <n v="11"/>
    <n v="2020"/>
    <n v="2020"/>
    <n v="16"/>
    <x v="0"/>
    <s v="16B"/>
    <x v="15"/>
    <n v="1"/>
    <n v="38"/>
    <x v="7"/>
    <x v="1"/>
  </r>
  <r>
    <n v="14080"/>
    <n v="116812935"/>
    <s v="Recovery"/>
    <n v="200"/>
    <s v="AHY"/>
    <s v="F"/>
    <n v="1"/>
    <n v="2019"/>
    <n v="2018"/>
    <n v="14"/>
    <x v="0"/>
    <s v="14B"/>
    <x v="10"/>
    <n v="1"/>
    <n v="7"/>
    <x v="0"/>
    <x v="0"/>
  </r>
  <r>
    <n v="14082"/>
    <n v="116812937"/>
    <s v="Recovery"/>
    <n v="200"/>
    <s v="AHY"/>
    <s v="M"/>
    <n v="9"/>
    <n v="2017"/>
    <n v="2017"/>
    <n v="13"/>
    <x v="0"/>
    <s v="13B"/>
    <x v="13"/>
    <n v="1"/>
    <n v="7"/>
    <x v="0"/>
    <x v="0"/>
  </r>
  <r>
    <n v="14085"/>
    <n v="116812940"/>
    <s v="Recovery"/>
    <n v="200"/>
    <s v="AHY"/>
    <s v="M"/>
    <n v="1"/>
    <n v="2019"/>
    <n v="2018"/>
    <n v="14"/>
    <x v="0"/>
    <s v="14B"/>
    <x v="10"/>
    <n v="1"/>
    <n v="7"/>
    <x v="0"/>
    <x v="0"/>
  </r>
  <r>
    <n v="14089"/>
    <n v="116812944"/>
    <s v="Recovery"/>
    <n v="200"/>
    <s v="AHY"/>
    <s v="M"/>
    <n v="12"/>
    <n v="2018"/>
    <n v="2018"/>
    <n v="14"/>
    <x v="0"/>
    <s v="14B"/>
    <x v="10"/>
    <n v="1"/>
    <n v="7"/>
    <x v="0"/>
    <x v="0"/>
  </r>
  <r>
    <n v="14091"/>
    <n v="116812946"/>
    <s v="Recovery"/>
    <n v="200"/>
    <s v="AHY"/>
    <s v="F"/>
    <n v="9"/>
    <n v="2016"/>
    <n v="2016"/>
    <n v="12"/>
    <x v="0"/>
    <s v="12B"/>
    <x v="12"/>
    <n v="1"/>
    <n v="7"/>
    <x v="0"/>
    <x v="0"/>
  </r>
  <r>
    <n v="14095"/>
    <n v="116812950"/>
    <s v="Recovery"/>
    <n v="200"/>
    <s v="AHY"/>
    <s v="M"/>
    <n v="9"/>
    <n v="2016"/>
    <n v="2016"/>
    <n v="12"/>
    <x v="0"/>
    <s v="12B"/>
    <x v="12"/>
    <n v="1"/>
    <n v="7"/>
    <x v="0"/>
    <x v="0"/>
  </r>
  <r>
    <n v="14096"/>
    <n v="116812951"/>
    <s v="Recovery"/>
    <n v="200"/>
    <s v="AHY"/>
    <s v="M"/>
    <n v="9"/>
    <n v="2016"/>
    <n v="2016"/>
    <n v="12"/>
    <x v="0"/>
    <s v="12B"/>
    <x v="12"/>
    <n v="1"/>
    <n v="7"/>
    <x v="0"/>
    <x v="0"/>
  </r>
  <r>
    <n v="14098"/>
    <n v="116812953"/>
    <s v="Recovery"/>
    <n v="200"/>
    <s v="HY"/>
    <s v="F"/>
    <n v="11"/>
    <n v="2016"/>
    <n v="2016"/>
    <n v="12"/>
    <x v="0"/>
    <s v="12B"/>
    <x v="12"/>
    <n v="1"/>
    <n v="7"/>
    <x v="0"/>
    <x v="0"/>
  </r>
  <r>
    <n v="14099"/>
    <n v="116812954"/>
    <s v="Recovery"/>
    <n v="200"/>
    <s v="AHY"/>
    <s v="F"/>
    <n v="1"/>
    <n v="2018"/>
    <n v="2017"/>
    <n v="13"/>
    <x v="0"/>
    <s v="13B"/>
    <x v="13"/>
    <n v="1"/>
    <n v="7"/>
    <x v="0"/>
    <x v="0"/>
  </r>
  <r>
    <n v="14101"/>
    <n v="116812956"/>
    <s v="Recovery"/>
    <n v="200"/>
    <s v="AHY"/>
    <s v="M"/>
    <n v="9"/>
    <n v="2016"/>
    <n v="2016"/>
    <n v="12"/>
    <x v="0"/>
    <s v="12B"/>
    <x v="12"/>
    <n v="1"/>
    <n v="7"/>
    <x v="0"/>
    <x v="0"/>
  </r>
  <r>
    <n v="14103"/>
    <n v="116812958"/>
    <s v="Recovery"/>
    <n v="200"/>
    <s v="AHY"/>
    <s v="F"/>
    <n v="9"/>
    <n v="2019"/>
    <n v="2019"/>
    <n v="15"/>
    <x v="0"/>
    <s v="15B"/>
    <x v="11"/>
    <n v="1"/>
    <n v="7"/>
    <x v="0"/>
    <x v="0"/>
  </r>
  <r>
    <n v="14104"/>
    <n v="116812959"/>
    <s v="Recovery"/>
    <n v="200"/>
    <s v="AHY"/>
    <s v="F"/>
    <n v="9"/>
    <n v="2016"/>
    <n v="2016"/>
    <n v="12"/>
    <x v="0"/>
    <s v="12B"/>
    <x v="12"/>
    <n v="1"/>
    <n v="7"/>
    <x v="0"/>
    <x v="0"/>
  </r>
  <r>
    <n v="14109"/>
    <n v="116812964"/>
    <s v="Recovery"/>
    <n v="200"/>
    <s v="AHY"/>
    <s v="F"/>
    <n v="9"/>
    <n v="2017"/>
    <n v="2017"/>
    <n v="13"/>
    <x v="0"/>
    <s v="13B"/>
    <x v="13"/>
    <n v="1"/>
    <n v="7"/>
    <x v="0"/>
    <x v="0"/>
  </r>
  <r>
    <n v="14110"/>
    <n v="116812965"/>
    <s v="Recovery"/>
    <n v="200"/>
    <s v="HY"/>
    <s v="F"/>
    <n v="9"/>
    <n v="2016"/>
    <n v="2016"/>
    <n v="12"/>
    <x v="0"/>
    <s v="12B"/>
    <x v="12"/>
    <n v="1"/>
    <n v="7"/>
    <x v="0"/>
    <x v="0"/>
  </r>
  <r>
    <n v="14115"/>
    <n v="116812970"/>
    <s v="Recovery"/>
    <n v="200"/>
    <s v="AHY"/>
    <s v="F"/>
    <n v="1"/>
    <n v="2019"/>
    <n v="2018"/>
    <n v="14"/>
    <x v="0"/>
    <s v="14B"/>
    <x v="10"/>
    <n v="1"/>
    <n v="7"/>
    <x v="0"/>
    <x v="0"/>
  </r>
  <r>
    <n v="14116"/>
    <n v="116812971"/>
    <s v="Recovery"/>
    <n v="200"/>
    <s v="AHY"/>
    <s v="M"/>
    <n v="9"/>
    <n v="2016"/>
    <n v="2016"/>
    <n v="12"/>
    <x v="0"/>
    <s v="12B"/>
    <x v="12"/>
    <n v="1"/>
    <n v="7"/>
    <x v="0"/>
    <x v="0"/>
  </r>
  <r>
    <n v="14118"/>
    <n v="116812973"/>
    <s v="Recovery"/>
    <n v="200"/>
    <s v="AHY"/>
    <s v="M"/>
    <n v="1"/>
    <n v="2018"/>
    <n v="2017"/>
    <n v="13"/>
    <x v="0"/>
    <s v="13B"/>
    <x v="13"/>
    <n v="1"/>
    <n v="7"/>
    <x v="0"/>
    <x v="0"/>
  </r>
  <r>
    <n v="14122"/>
    <n v="116812977"/>
    <s v="Recovery"/>
    <n v="200"/>
    <s v="AHY"/>
    <s v="F"/>
    <n v="12"/>
    <n v="2018"/>
    <n v="2018"/>
    <n v="14"/>
    <x v="0"/>
    <s v="14B"/>
    <x v="10"/>
    <n v="1"/>
    <n v="7"/>
    <x v="0"/>
    <x v="0"/>
  </r>
  <r>
    <n v="14126"/>
    <n v="116812981"/>
    <s v="Recovery"/>
    <n v="200"/>
    <s v="AHY"/>
    <s v="M"/>
    <n v="12"/>
    <n v="2017"/>
    <n v="2017"/>
    <n v="13"/>
    <x v="0"/>
    <s v="13B"/>
    <x v="13"/>
    <n v="1"/>
    <n v="7"/>
    <x v="0"/>
    <x v="0"/>
  </r>
  <r>
    <n v="14128"/>
    <n v="116812983"/>
    <s v="Recovery"/>
    <n v="200"/>
    <s v="AHY"/>
    <s v="M"/>
    <n v="9"/>
    <n v="2016"/>
    <n v="2016"/>
    <n v="12"/>
    <x v="0"/>
    <s v="12B"/>
    <x v="12"/>
    <n v="1"/>
    <n v="7"/>
    <x v="0"/>
    <x v="0"/>
  </r>
  <r>
    <n v="14130"/>
    <n v="116812985"/>
    <s v="Recovery"/>
    <n v="200"/>
    <s v="AHY"/>
    <s v="F"/>
    <n v="9"/>
    <n v="2018"/>
    <n v="2018"/>
    <n v="14"/>
    <x v="0"/>
    <s v="14B"/>
    <x v="10"/>
    <n v="1"/>
    <n v="7"/>
    <x v="0"/>
    <x v="0"/>
  </r>
  <r>
    <n v="14131"/>
    <n v="116812986"/>
    <s v="Recovery"/>
    <n v="200"/>
    <s v="AHY"/>
    <s v="F"/>
    <n v="12"/>
    <n v="2018"/>
    <n v="2018"/>
    <n v="14"/>
    <x v="0"/>
    <s v="14B"/>
    <x v="10"/>
    <n v="1"/>
    <n v="7"/>
    <x v="0"/>
    <x v="0"/>
  </r>
  <r>
    <n v="14132"/>
    <n v="116812987"/>
    <s v="Recovery"/>
    <n v="200"/>
    <s v="AHY"/>
    <s v="M"/>
    <n v="9"/>
    <n v="2016"/>
    <n v="2016"/>
    <n v="12"/>
    <x v="0"/>
    <s v="12B"/>
    <x v="12"/>
    <n v="1"/>
    <n v="7"/>
    <x v="0"/>
    <x v="0"/>
  </r>
  <r>
    <n v="14133"/>
    <n v="116812988"/>
    <s v="Recovery"/>
    <n v="200"/>
    <s v="AHY"/>
    <s v="M"/>
    <n v="9"/>
    <n v="2017"/>
    <n v="2017"/>
    <n v="13"/>
    <x v="0"/>
    <s v="13B"/>
    <x v="13"/>
    <n v="1"/>
    <n v="7"/>
    <x v="0"/>
    <x v="0"/>
  </r>
  <r>
    <n v="14134"/>
    <n v="116812989"/>
    <s v="Recovery"/>
    <n v="200"/>
    <s v="AHY"/>
    <s v="M"/>
    <n v="9"/>
    <n v="2017"/>
    <n v="2017"/>
    <n v="13"/>
    <x v="0"/>
    <s v="13B"/>
    <x v="13"/>
    <n v="1"/>
    <n v="7"/>
    <x v="0"/>
    <x v="0"/>
  </r>
  <r>
    <n v="14136"/>
    <n v="116812991"/>
    <s v="Recovery"/>
    <n v="200"/>
    <s v="AHY"/>
    <s v="F"/>
    <n v="9"/>
    <n v="2018"/>
    <n v="2018"/>
    <n v="14"/>
    <x v="0"/>
    <s v="14B"/>
    <x v="10"/>
    <n v="1"/>
    <n v="7"/>
    <x v="0"/>
    <x v="0"/>
  </r>
  <r>
    <n v="14137"/>
    <n v="116812992"/>
    <s v="Recovery"/>
    <n v="200"/>
    <s v="AHY"/>
    <s v="F"/>
    <n v="9"/>
    <n v="2016"/>
    <n v="2016"/>
    <n v="12"/>
    <x v="0"/>
    <s v="12B"/>
    <x v="12"/>
    <n v="1"/>
    <n v="7"/>
    <x v="0"/>
    <x v="0"/>
  </r>
  <r>
    <n v="14138"/>
    <n v="116812993"/>
    <s v="Recovery"/>
    <n v="200"/>
    <s v="AHY"/>
    <s v="F"/>
    <n v="9"/>
    <n v="2016"/>
    <n v="2016"/>
    <n v="12"/>
    <x v="0"/>
    <s v="12B"/>
    <x v="12"/>
    <n v="1"/>
    <n v="7"/>
    <x v="0"/>
    <x v="0"/>
  </r>
  <r>
    <n v="14140"/>
    <n v="116812995"/>
    <s v="Recovery"/>
    <n v="200"/>
    <s v="AHY"/>
    <s v="F"/>
    <n v="9"/>
    <n v="2017"/>
    <n v="2017"/>
    <n v="13"/>
    <x v="0"/>
    <s v="13B"/>
    <x v="13"/>
    <n v="1"/>
    <n v="7"/>
    <x v="0"/>
    <x v="0"/>
  </r>
  <r>
    <n v="14141"/>
    <n v="116812996"/>
    <s v="Recovery"/>
    <n v="200"/>
    <s v="AHY"/>
    <s v="F"/>
    <n v="9"/>
    <n v="2016"/>
    <n v="2016"/>
    <n v="12"/>
    <x v="0"/>
    <s v="12B"/>
    <x v="12"/>
    <n v="1"/>
    <n v="7"/>
    <x v="0"/>
    <x v="0"/>
  </r>
  <r>
    <n v="14142"/>
    <n v="116812997"/>
    <s v="Recovery"/>
    <n v="200"/>
    <s v="AHY"/>
    <s v="M"/>
    <n v="12"/>
    <n v="2017"/>
    <n v="2017"/>
    <n v="13"/>
    <x v="0"/>
    <s v="13B"/>
    <x v="13"/>
    <n v="1"/>
    <n v="7"/>
    <x v="0"/>
    <x v="0"/>
  </r>
  <r>
    <n v="14145"/>
    <n v="116813000"/>
    <s v="Recovery"/>
    <n v="200"/>
    <s v="AHY"/>
    <s v="M"/>
    <n v="1"/>
    <n v="2020"/>
    <n v="2019"/>
    <n v="15"/>
    <x v="0"/>
    <s v="15B"/>
    <x v="11"/>
    <n v="1"/>
    <n v="7"/>
    <x v="0"/>
    <x v="0"/>
  </r>
  <r>
    <n v="14146"/>
    <n v="116816182"/>
    <s v="Recovery"/>
    <n v="200"/>
    <s v="HY"/>
    <s v="M"/>
    <n v="9"/>
    <n v="2016"/>
    <n v="2016"/>
    <n v="12"/>
    <x v="0"/>
    <s v="12B"/>
    <x v="12"/>
    <n v="1"/>
    <n v="7"/>
    <x v="0"/>
    <x v="0"/>
  </r>
  <r>
    <n v="14156"/>
    <n v="116816192"/>
    <s v="Recovery"/>
    <n v="200"/>
    <s v="AHY"/>
    <s v="M"/>
    <n v="9"/>
    <n v="2016"/>
    <n v="2016"/>
    <n v="12"/>
    <x v="0"/>
    <s v="12B"/>
    <x v="12"/>
    <n v="1"/>
    <n v="7"/>
    <x v="0"/>
    <x v="0"/>
  </r>
  <r>
    <n v="14167"/>
    <n v="116864087"/>
    <s v="Recovery"/>
    <n v="200"/>
    <s v="AHY"/>
    <s v="M"/>
    <n v="1"/>
    <n v="2018"/>
    <n v="2017"/>
    <n v="13"/>
    <x v="0"/>
    <s v="13B"/>
    <x v="13"/>
    <n v="1"/>
    <n v="7"/>
    <x v="0"/>
    <x v="0"/>
  </r>
  <r>
    <n v="14174"/>
    <n v="116864094"/>
    <s v="Recovery"/>
    <n v="200"/>
    <s v="AHY"/>
    <s v="M"/>
    <n v="12"/>
    <n v="2017"/>
    <n v="2017"/>
    <n v="13"/>
    <x v="0"/>
    <s v="13B"/>
    <x v="13"/>
    <n v="1"/>
    <n v="7"/>
    <x v="0"/>
    <x v="0"/>
  </r>
  <r>
    <n v="14175"/>
    <n v="116864095"/>
    <s v="Recovery"/>
    <n v="200"/>
    <s v="AHY"/>
    <s v="F"/>
    <n v="9"/>
    <n v="2016"/>
    <n v="2016"/>
    <n v="12"/>
    <x v="0"/>
    <s v="12B"/>
    <x v="12"/>
    <n v="1"/>
    <n v="7"/>
    <x v="0"/>
    <x v="0"/>
  </r>
  <r>
    <n v="14176"/>
    <n v="116864096"/>
    <s v="Recovery"/>
    <n v="200"/>
    <s v="HY"/>
    <s v="M"/>
    <n v="9"/>
    <n v="2016"/>
    <n v="2016"/>
    <n v="12"/>
    <x v="0"/>
    <s v="12B"/>
    <x v="12"/>
    <n v="1"/>
    <n v="7"/>
    <x v="0"/>
    <x v="0"/>
  </r>
  <r>
    <n v="14180"/>
    <n v="116864100"/>
    <s v="Recovery"/>
    <n v="200"/>
    <s v="HY"/>
    <s v="M"/>
    <n v="9"/>
    <n v="2016"/>
    <n v="2016"/>
    <n v="12"/>
    <x v="0"/>
    <s v="12B"/>
    <x v="12"/>
    <n v="1"/>
    <n v="7"/>
    <x v="0"/>
    <x v="0"/>
  </r>
  <r>
    <n v="14183"/>
    <n v="116864103"/>
    <s v="Recovery"/>
    <n v="200"/>
    <s v="AHY"/>
    <s v="F"/>
    <n v="9"/>
    <n v="2016"/>
    <n v="2016"/>
    <n v="12"/>
    <x v="0"/>
    <s v="12B"/>
    <x v="12"/>
    <n v="1"/>
    <n v="7"/>
    <x v="0"/>
    <x v="0"/>
  </r>
  <r>
    <n v="14189"/>
    <n v="116864109"/>
    <s v="Recovery"/>
    <n v="200"/>
    <s v="AHY"/>
    <s v="M"/>
    <n v="1"/>
    <n v="2020"/>
    <n v="2019"/>
    <n v="15"/>
    <x v="0"/>
    <s v="15B"/>
    <x v="11"/>
    <n v="1"/>
    <n v="7"/>
    <x v="0"/>
    <x v="0"/>
  </r>
  <r>
    <n v="14193"/>
    <n v="116864113"/>
    <s v="Recovery"/>
    <n v="200"/>
    <s v="AHY"/>
    <s v="M"/>
    <n v="11"/>
    <n v="2019"/>
    <n v="2019"/>
    <n v="15"/>
    <x v="0"/>
    <s v="15B"/>
    <x v="11"/>
    <n v="1"/>
    <n v="7"/>
    <x v="0"/>
    <x v="0"/>
  </r>
  <r>
    <n v="14199"/>
    <n v="116864119"/>
    <s v="Recovery"/>
    <n v="200"/>
    <s v="AHY"/>
    <s v="F"/>
    <n v="1"/>
    <n v="2020"/>
    <n v="2019"/>
    <n v="15"/>
    <x v="0"/>
    <s v="15B"/>
    <x v="11"/>
    <n v="1"/>
    <n v="7"/>
    <x v="0"/>
    <x v="0"/>
  </r>
  <r>
    <n v="14201"/>
    <n v="116864121"/>
    <s v="Recovery"/>
    <n v="200"/>
    <s v="AHY"/>
    <s v="M"/>
    <n v="11"/>
    <n v="2016"/>
    <n v="2016"/>
    <n v="12"/>
    <x v="0"/>
    <s v="12B"/>
    <x v="12"/>
    <n v="1"/>
    <n v="7"/>
    <x v="0"/>
    <x v="0"/>
  </r>
  <r>
    <n v="14218"/>
    <n v="116864138"/>
    <s v="Recovery"/>
    <n v="200"/>
    <s v="AHY"/>
    <s v="F"/>
    <n v="9"/>
    <n v="2016"/>
    <n v="2016"/>
    <n v="12"/>
    <x v="0"/>
    <s v="12B"/>
    <x v="12"/>
    <n v="1"/>
    <n v="7"/>
    <x v="0"/>
    <x v="0"/>
  </r>
  <r>
    <n v="14222"/>
    <n v="116864142"/>
    <s v="Recovery"/>
    <n v="200"/>
    <s v="AHY"/>
    <s v="M"/>
    <n v="12"/>
    <n v="2016"/>
    <n v="2016"/>
    <n v="12"/>
    <x v="0"/>
    <s v="12B"/>
    <x v="12"/>
    <n v="1"/>
    <n v="7"/>
    <x v="0"/>
    <x v="0"/>
  </r>
  <r>
    <n v="14225"/>
    <n v="116864145"/>
    <s v="Recovery"/>
    <n v="200"/>
    <s v="AHY"/>
    <s v="M"/>
    <n v="11"/>
    <n v="2019"/>
    <n v="2019"/>
    <n v="15"/>
    <x v="0"/>
    <s v="15B"/>
    <x v="11"/>
    <n v="1"/>
    <n v="7"/>
    <x v="0"/>
    <x v="0"/>
  </r>
  <r>
    <n v="14234"/>
    <n v="116864154"/>
    <s v="Recovery"/>
    <n v="200"/>
    <s v="AHY"/>
    <s v="M"/>
    <n v="9"/>
    <n v="2016"/>
    <n v="2016"/>
    <n v="12"/>
    <x v="0"/>
    <s v="12B"/>
    <x v="12"/>
    <n v="1"/>
    <n v="7"/>
    <x v="0"/>
    <x v="0"/>
  </r>
  <r>
    <n v="14238"/>
    <n v="116864158"/>
    <s v="Recovery"/>
    <n v="200"/>
    <s v="AHY"/>
    <s v="M"/>
    <n v="9"/>
    <n v="2020"/>
    <n v="2020"/>
    <n v="16"/>
    <x v="0"/>
    <s v="16B"/>
    <x v="15"/>
    <n v="1"/>
    <n v="7"/>
    <x v="0"/>
    <x v="0"/>
  </r>
  <r>
    <n v="14239"/>
    <n v="116864159"/>
    <s v="Recovery"/>
    <n v="200"/>
    <s v="AHY"/>
    <s v="M"/>
    <n v="1"/>
    <n v="2020"/>
    <n v="2019"/>
    <n v="15"/>
    <x v="0"/>
    <s v="15B"/>
    <x v="11"/>
    <n v="1"/>
    <n v="7"/>
    <x v="0"/>
    <x v="0"/>
  </r>
  <r>
    <n v="14241"/>
    <n v="116864161"/>
    <s v="Recovery"/>
    <n v="200"/>
    <s v="AHY"/>
    <s v="M"/>
    <n v="10"/>
    <n v="2018"/>
    <n v="2018"/>
    <n v="14"/>
    <x v="0"/>
    <s v="14B"/>
    <x v="10"/>
    <n v="1"/>
    <n v="7"/>
    <x v="0"/>
    <x v="0"/>
  </r>
  <r>
    <n v="14242"/>
    <n v="116864162"/>
    <s v="Recovery"/>
    <n v="200"/>
    <s v="AHY"/>
    <s v="M"/>
    <n v="1"/>
    <n v="2020"/>
    <n v="2019"/>
    <n v="15"/>
    <x v="0"/>
    <s v="15B"/>
    <x v="11"/>
    <n v="1"/>
    <n v="7"/>
    <x v="0"/>
    <x v="0"/>
  </r>
  <r>
    <n v="14250"/>
    <n v="116864170"/>
    <s v="Recovery"/>
    <n v="200"/>
    <s v="AHY"/>
    <s v="M"/>
    <n v="9"/>
    <n v="2016"/>
    <n v="2016"/>
    <n v="12"/>
    <x v="0"/>
    <s v="12B"/>
    <x v="12"/>
    <n v="1"/>
    <n v="7"/>
    <x v="0"/>
    <x v="0"/>
  </r>
  <r>
    <n v="14253"/>
    <n v="116864173"/>
    <s v="Recovery"/>
    <n v="200"/>
    <s v="AHY"/>
    <s v="M"/>
    <n v="1"/>
    <n v="2018"/>
    <n v="2017"/>
    <n v="13"/>
    <x v="0"/>
    <s v="13B"/>
    <x v="13"/>
    <n v="1"/>
    <n v="7"/>
    <x v="0"/>
    <x v="0"/>
  </r>
  <r>
    <n v="14260"/>
    <n v="116864180"/>
    <s v="Recovery"/>
    <n v="200"/>
    <s v="AHY"/>
    <s v="F"/>
    <n v="9"/>
    <n v="2017"/>
    <n v="2017"/>
    <n v="13"/>
    <x v="0"/>
    <s v="13B"/>
    <x v="13"/>
    <n v="1"/>
    <n v="7"/>
    <x v="0"/>
    <x v="0"/>
  </r>
  <r>
    <n v="14267"/>
    <n v="116864187"/>
    <s v="Recovery"/>
    <n v="200"/>
    <s v="AHY"/>
    <s v="M"/>
    <n v="12"/>
    <n v="2016"/>
    <n v="2016"/>
    <n v="12"/>
    <x v="0"/>
    <s v="12B"/>
    <x v="12"/>
    <n v="1"/>
    <n v="7"/>
    <x v="0"/>
    <x v="0"/>
  </r>
  <r>
    <n v="14269"/>
    <n v="116864189"/>
    <s v="Recovery"/>
    <n v="200"/>
    <s v="AHY"/>
    <s v="F"/>
    <n v="1"/>
    <n v="2018"/>
    <n v="2017"/>
    <n v="13"/>
    <x v="0"/>
    <s v="13B"/>
    <x v="13"/>
    <n v="1"/>
    <n v="7"/>
    <x v="0"/>
    <x v="0"/>
  </r>
  <r>
    <n v="14279"/>
    <n v="116864199"/>
    <s v="Recovery"/>
    <n v="200"/>
    <s v="AHY"/>
    <s v="M"/>
    <n v="1"/>
    <n v="2020"/>
    <n v="2019"/>
    <n v="15"/>
    <x v="0"/>
    <s v="15B"/>
    <x v="11"/>
    <n v="1"/>
    <n v="7"/>
    <x v="0"/>
    <x v="0"/>
  </r>
  <r>
    <n v="14283"/>
    <n v="116864424"/>
    <s v="Recovery"/>
    <n v="200"/>
    <s v="AHY"/>
    <s v="F"/>
    <n v="9"/>
    <n v="2016"/>
    <n v="2016"/>
    <n v="12"/>
    <x v="0"/>
    <s v="12B"/>
    <x v="12"/>
    <n v="1"/>
    <n v="7"/>
    <x v="0"/>
    <x v="0"/>
  </r>
  <r>
    <n v="14285"/>
    <n v="116864426"/>
    <s v="Recovery"/>
    <n v="200"/>
    <s v="AHY"/>
    <s v="M"/>
    <n v="9"/>
    <n v="2017"/>
    <n v="2017"/>
    <n v="13"/>
    <x v="0"/>
    <s v="13B"/>
    <x v="13"/>
    <n v="1"/>
    <n v="7"/>
    <x v="0"/>
    <x v="0"/>
  </r>
  <r>
    <n v="14286"/>
    <n v="116864427"/>
    <s v="Recovery"/>
    <n v="200"/>
    <s v="AHY"/>
    <s v="F"/>
    <n v="9"/>
    <n v="2018"/>
    <n v="2018"/>
    <n v="14"/>
    <x v="0"/>
    <s v="14B"/>
    <x v="10"/>
    <n v="1"/>
    <n v="7"/>
    <x v="0"/>
    <x v="0"/>
  </r>
  <r>
    <n v="14287"/>
    <n v="116864428"/>
    <s v="Recovery"/>
    <n v="200"/>
    <s v="AHY"/>
    <s v="M"/>
    <n v="9"/>
    <n v="2017"/>
    <n v="2017"/>
    <n v="13"/>
    <x v="0"/>
    <s v="13B"/>
    <x v="13"/>
    <n v="1"/>
    <n v="7"/>
    <x v="0"/>
    <x v="0"/>
  </r>
  <r>
    <n v="14289"/>
    <n v="116864430"/>
    <s v="Recovery"/>
    <n v="200"/>
    <s v="AHY"/>
    <s v="M"/>
    <n v="9"/>
    <n v="2016"/>
    <n v="2016"/>
    <n v="12"/>
    <x v="0"/>
    <s v="12B"/>
    <x v="12"/>
    <n v="1"/>
    <n v="7"/>
    <x v="0"/>
    <x v="0"/>
  </r>
  <r>
    <n v="14291"/>
    <n v="116864432"/>
    <s v="Recovery"/>
    <n v="200"/>
    <s v="AHY"/>
    <s v="F"/>
    <n v="1"/>
    <n v="2018"/>
    <n v="2017"/>
    <n v="13"/>
    <x v="0"/>
    <s v="13B"/>
    <x v="13"/>
    <n v="1"/>
    <n v="7"/>
    <x v="0"/>
    <x v="0"/>
  </r>
  <r>
    <n v="14292"/>
    <n v="116864433"/>
    <s v="Recovery"/>
    <n v="200"/>
    <s v="AHY"/>
    <s v="M"/>
    <n v="9"/>
    <n v="2016"/>
    <n v="2016"/>
    <n v="12"/>
    <x v="0"/>
    <s v="12B"/>
    <x v="12"/>
    <n v="1"/>
    <n v="7"/>
    <x v="0"/>
    <x v="0"/>
  </r>
  <r>
    <n v="14294"/>
    <n v="116864435"/>
    <s v="Recovery"/>
    <n v="200"/>
    <s v="AHY"/>
    <s v="M"/>
    <n v="9"/>
    <n v="2016"/>
    <n v="2016"/>
    <n v="12"/>
    <x v="0"/>
    <s v="12B"/>
    <x v="12"/>
    <n v="1"/>
    <n v="7"/>
    <x v="0"/>
    <x v="0"/>
  </r>
  <r>
    <n v="14298"/>
    <n v="116864439"/>
    <s v="Recovery"/>
    <n v="200"/>
    <s v="AHY"/>
    <s v="F"/>
    <n v="1"/>
    <n v="2019"/>
    <n v="2018"/>
    <n v="14"/>
    <x v="0"/>
    <s v="14B"/>
    <x v="10"/>
    <n v="1"/>
    <n v="7"/>
    <x v="0"/>
    <x v="0"/>
  </r>
  <r>
    <n v="14301"/>
    <n v="116864442"/>
    <s v="Recovery"/>
    <n v="200"/>
    <s v="AHY"/>
    <s v="F"/>
    <n v="1"/>
    <n v="2018"/>
    <n v="2017"/>
    <n v="13"/>
    <x v="0"/>
    <s v="13B"/>
    <x v="13"/>
    <n v="1"/>
    <n v="7"/>
    <x v="0"/>
    <x v="0"/>
  </r>
  <r>
    <n v="14302"/>
    <n v="116864443"/>
    <s v="Recovery"/>
    <n v="200"/>
    <s v="AHY"/>
    <s v="F"/>
    <n v="9"/>
    <n v="2016"/>
    <n v="2016"/>
    <n v="12"/>
    <x v="0"/>
    <s v="12B"/>
    <x v="12"/>
    <n v="1"/>
    <n v="7"/>
    <x v="0"/>
    <x v="0"/>
  </r>
  <r>
    <n v="14304"/>
    <n v="116864445"/>
    <s v="Recovery"/>
    <n v="200"/>
    <s v="AHY"/>
    <s v="F"/>
    <n v="9"/>
    <n v="2016"/>
    <n v="2016"/>
    <n v="12"/>
    <x v="0"/>
    <s v="12B"/>
    <x v="12"/>
    <n v="1"/>
    <n v="7"/>
    <x v="0"/>
    <x v="0"/>
  </r>
  <r>
    <n v="14308"/>
    <n v="116864449"/>
    <s v="Recovery"/>
    <n v="200"/>
    <s v="AHY"/>
    <s v="M"/>
    <n v="1"/>
    <n v="2018"/>
    <n v="2017"/>
    <n v="13"/>
    <x v="0"/>
    <s v="13B"/>
    <x v="13"/>
    <n v="1"/>
    <n v="7"/>
    <x v="0"/>
    <x v="0"/>
  </r>
  <r>
    <n v="14318"/>
    <n v="116864459"/>
    <s v="Recovery"/>
    <n v="200"/>
    <s v="AHY"/>
    <s v="M"/>
    <n v="12"/>
    <n v="2020"/>
    <n v="2020"/>
    <n v="16"/>
    <x v="0"/>
    <s v="16B"/>
    <x v="15"/>
    <n v="1"/>
    <n v="7"/>
    <x v="0"/>
    <x v="0"/>
  </r>
  <r>
    <n v="14320"/>
    <n v="116864461"/>
    <s v="Recovery"/>
    <n v="200"/>
    <s v="AHY"/>
    <s v="F"/>
    <n v="1"/>
    <n v="2020"/>
    <n v="2019"/>
    <n v="15"/>
    <x v="0"/>
    <s v="15B"/>
    <x v="11"/>
    <n v="1"/>
    <n v="7"/>
    <x v="0"/>
    <x v="0"/>
  </r>
  <r>
    <n v="14326"/>
    <n v="116864467"/>
    <s v="Recovery"/>
    <n v="200"/>
    <s v="AHY"/>
    <s v="F"/>
    <n v="1"/>
    <n v="2017"/>
    <n v="2016"/>
    <n v="12"/>
    <x v="0"/>
    <s v="12B"/>
    <x v="12"/>
    <n v="1"/>
    <n v="7"/>
    <x v="0"/>
    <x v="0"/>
  </r>
  <r>
    <n v="14331"/>
    <n v="118882002"/>
    <s v="Recovery"/>
    <n v="200"/>
    <s v="HY"/>
    <s v="F"/>
    <n v="1"/>
    <n v="2017"/>
    <n v="2016"/>
    <n v="12"/>
    <x v="0"/>
    <s v="12B"/>
    <x v="12"/>
    <n v="1"/>
    <n v="7"/>
    <x v="0"/>
    <x v="0"/>
  </r>
  <r>
    <n v="14333"/>
    <n v="118882004"/>
    <s v="Recovery"/>
    <n v="200"/>
    <s v="HY"/>
    <s v="F"/>
    <n v="1"/>
    <n v="2017"/>
    <n v="2016"/>
    <n v="12"/>
    <x v="0"/>
    <s v="12B"/>
    <x v="12"/>
    <n v="1"/>
    <n v="7"/>
    <x v="0"/>
    <x v="0"/>
  </r>
  <r>
    <n v="14334"/>
    <n v="118882005"/>
    <s v="Recovery"/>
    <n v="200"/>
    <s v="AHY"/>
    <s v="F"/>
    <n v="1"/>
    <n v="2017"/>
    <n v="2016"/>
    <n v="12"/>
    <x v="0"/>
    <s v="12B"/>
    <x v="12"/>
    <n v="1"/>
    <n v="7"/>
    <x v="0"/>
    <x v="0"/>
  </r>
  <r>
    <n v="14337"/>
    <n v="118882008"/>
    <s v="Recovery"/>
    <n v="200"/>
    <s v="AHY"/>
    <s v="F"/>
    <n v="1"/>
    <n v="2021"/>
    <n v="2020"/>
    <n v="16"/>
    <x v="0"/>
    <s v="16B"/>
    <x v="15"/>
    <n v="1"/>
    <n v="7"/>
    <x v="0"/>
    <x v="0"/>
  </r>
  <r>
    <n v="14338"/>
    <n v="118882009"/>
    <s v="Recovery"/>
    <n v="200"/>
    <s v="AHY"/>
    <s v="M"/>
    <n v="11"/>
    <n v="2016"/>
    <n v="2016"/>
    <n v="12"/>
    <x v="0"/>
    <s v="12B"/>
    <x v="12"/>
    <n v="1"/>
    <n v="7"/>
    <x v="0"/>
    <x v="0"/>
  </r>
  <r>
    <n v="14341"/>
    <n v="118882012"/>
    <s v="Recovery"/>
    <n v="200"/>
    <s v="AHY"/>
    <s v="M"/>
    <n v="11"/>
    <n v="2018"/>
    <n v="2018"/>
    <n v="14"/>
    <x v="0"/>
    <s v="14B"/>
    <x v="10"/>
    <n v="1"/>
    <n v="7"/>
    <x v="0"/>
    <x v="0"/>
  </r>
  <r>
    <n v="14342"/>
    <n v="118882013"/>
    <s v="Recovery"/>
    <n v="200"/>
    <s v="HY"/>
    <s v="M"/>
    <n v="12"/>
    <n v="2016"/>
    <n v="2016"/>
    <n v="12"/>
    <x v="0"/>
    <s v="12B"/>
    <x v="12"/>
    <n v="1"/>
    <n v="7"/>
    <x v="0"/>
    <x v="0"/>
  </r>
  <r>
    <n v="14346"/>
    <n v="118882017"/>
    <s v="Recovery"/>
    <n v="200"/>
    <s v="HY"/>
    <s v="F"/>
    <n v="12"/>
    <n v="2016"/>
    <n v="2016"/>
    <n v="12"/>
    <x v="0"/>
    <s v="12B"/>
    <x v="12"/>
    <n v="1"/>
    <n v="7"/>
    <x v="0"/>
    <x v="0"/>
  </r>
  <r>
    <n v="14356"/>
    <n v="118882027"/>
    <s v="Recovery"/>
    <n v="200"/>
    <s v="AHY"/>
    <s v="F"/>
    <n v="12"/>
    <n v="2017"/>
    <n v="2017"/>
    <n v="13"/>
    <x v="0"/>
    <s v="13B"/>
    <x v="13"/>
    <n v="1"/>
    <n v="7"/>
    <x v="0"/>
    <x v="0"/>
  </r>
  <r>
    <n v="14357"/>
    <n v="118882028"/>
    <s v="Recovery"/>
    <n v="200"/>
    <s v="AHY"/>
    <s v="F"/>
    <n v="1"/>
    <n v="2018"/>
    <n v="2017"/>
    <n v="13"/>
    <x v="0"/>
    <s v="13B"/>
    <x v="13"/>
    <n v="1"/>
    <n v="7"/>
    <x v="0"/>
    <x v="0"/>
  </r>
  <r>
    <n v="14359"/>
    <n v="118882030"/>
    <s v="Recovery"/>
    <n v="200"/>
    <s v="AHY"/>
    <s v="F"/>
    <n v="9"/>
    <n v="2017"/>
    <n v="2017"/>
    <n v="13"/>
    <x v="0"/>
    <s v="13B"/>
    <x v="13"/>
    <n v="1"/>
    <n v="7"/>
    <x v="0"/>
    <x v="0"/>
  </r>
  <r>
    <n v="14361"/>
    <n v="118882032"/>
    <s v="Recovery"/>
    <n v="200"/>
    <s v="AHY"/>
    <s v="F"/>
    <n v="1"/>
    <n v="2021"/>
    <n v="2020"/>
    <n v="16"/>
    <x v="0"/>
    <s v="16B"/>
    <x v="15"/>
    <n v="1"/>
    <n v="7"/>
    <x v="0"/>
    <x v="0"/>
  </r>
  <r>
    <n v="14367"/>
    <n v="118882038"/>
    <s v="Recovery"/>
    <n v="200"/>
    <s v="AHY"/>
    <s v="F"/>
    <n v="1"/>
    <n v="2017"/>
    <n v="2016"/>
    <n v="12"/>
    <x v="0"/>
    <s v="12B"/>
    <x v="12"/>
    <n v="1"/>
    <n v="7"/>
    <x v="0"/>
    <x v="0"/>
  </r>
  <r>
    <n v="14371"/>
    <n v="118882042"/>
    <s v="Recovery"/>
    <n v="200"/>
    <s v="AHY"/>
    <s v="F"/>
    <n v="1"/>
    <n v="2017"/>
    <n v="2016"/>
    <n v="12"/>
    <x v="0"/>
    <s v="12B"/>
    <x v="12"/>
    <n v="1"/>
    <n v="7"/>
    <x v="0"/>
    <x v="0"/>
  </r>
  <r>
    <n v="14372"/>
    <n v="118882043"/>
    <s v="Recovery"/>
    <n v="200"/>
    <s v="AHY"/>
    <s v="M"/>
    <n v="9"/>
    <n v="2018"/>
    <n v="2018"/>
    <n v="14"/>
    <x v="0"/>
    <s v="14B"/>
    <x v="10"/>
    <n v="1"/>
    <n v="7"/>
    <x v="0"/>
    <x v="0"/>
  </r>
  <r>
    <n v="14377"/>
    <n v="118882048"/>
    <s v="Recovery"/>
    <n v="200"/>
    <s v="AHY"/>
    <s v="F"/>
    <n v="1"/>
    <n v="2017"/>
    <n v="2016"/>
    <n v="12"/>
    <x v="0"/>
    <s v="12B"/>
    <x v="12"/>
    <n v="1"/>
    <n v="7"/>
    <x v="0"/>
    <x v="0"/>
  </r>
  <r>
    <n v="14382"/>
    <n v="118882053"/>
    <s v="Recovery"/>
    <n v="200"/>
    <s v="AHY"/>
    <s v="M"/>
    <n v="11"/>
    <n v="2017"/>
    <n v="2017"/>
    <n v="13"/>
    <x v="0"/>
    <s v="13B"/>
    <x v="13"/>
    <n v="1"/>
    <n v="7"/>
    <x v="0"/>
    <x v="0"/>
  </r>
  <r>
    <n v="14384"/>
    <n v="118882055"/>
    <s v="Recovery"/>
    <n v="200"/>
    <s v="HY"/>
    <s v="F"/>
    <n v="1"/>
    <n v="2017"/>
    <n v="2016"/>
    <n v="12"/>
    <x v="0"/>
    <s v="12B"/>
    <x v="12"/>
    <n v="1"/>
    <n v="7"/>
    <x v="0"/>
    <x v="0"/>
  </r>
  <r>
    <n v="14386"/>
    <n v="118882057"/>
    <s v="Recovery"/>
    <n v="200"/>
    <s v="AHY"/>
    <s v="M"/>
    <n v="11"/>
    <n v="2016"/>
    <n v="2016"/>
    <n v="12"/>
    <x v="0"/>
    <s v="12B"/>
    <x v="12"/>
    <n v="1"/>
    <n v="7"/>
    <x v="0"/>
    <x v="0"/>
  </r>
  <r>
    <n v="14387"/>
    <n v="118882058"/>
    <s v="Recovery"/>
    <n v="200"/>
    <s v="AHY"/>
    <s v="F"/>
    <n v="9"/>
    <n v="2018"/>
    <n v="2018"/>
    <n v="14"/>
    <x v="0"/>
    <s v="14B"/>
    <x v="10"/>
    <n v="1"/>
    <n v="7"/>
    <x v="0"/>
    <x v="0"/>
  </r>
  <r>
    <n v="14393"/>
    <n v="118882064"/>
    <s v="Recovery"/>
    <n v="200"/>
    <s v="AHY"/>
    <s v="F"/>
    <n v="1"/>
    <n v="2018"/>
    <n v="2017"/>
    <n v="13"/>
    <x v="0"/>
    <s v="13B"/>
    <x v="13"/>
    <n v="1"/>
    <n v="7"/>
    <x v="0"/>
    <x v="0"/>
  </r>
  <r>
    <n v="14394"/>
    <n v="118882065"/>
    <s v="Recovery"/>
    <n v="200"/>
    <s v="AHY"/>
    <s v="F"/>
    <n v="12"/>
    <n v="2016"/>
    <n v="2016"/>
    <n v="12"/>
    <x v="0"/>
    <s v="12B"/>
    <x v="12"/>
    <n v="1"/>
    <n v="7"/>
    <x v="0"/>
    <x v="0"/>
  </r>
  <r>
    <n v="14395"/>
    <n v="118882066"/>
    <s v="Recovery"/>
    <n v="200"/>
    <s v="AHY"/>
    <s v="F"/>
    <n v="12"/>
    <n v="2018"/>
    <n v="2018"/>
    <n v="14"/>
    <x v="0"/>
    <s v="14B"/>
    <x v="10"/>
    <n v="1"/>
    <n v="7"/>
    <x v="0"/>
    <x v="0"/>
  </r>
  <r>
    <n v="14397"/>
    <n v="118882068"/>
    <s v="Recovery"/>
    <n v="200"/>
    <s v="AHY"/>
    <s v="M"/>
    <n v="9"/>
    <n v="2018"/>
    <n v="2018"/>
    <n v="14"/>
    <x v="0"/>
    <s v="14B"/>
    <x v="10"/>
    <n v="1"/>
    <n v="7"/>
    <x v="0"/>
    <x v="0"/>
  </r>
  <r>
    <n v="14400"/>
    <n v="118882071"/>
    <s v="Recovery"/>
    <n v="200"/>
    <s v="AHY"/>
    <s v="M"/>
    <n v="1"/>
    <n v="2018"/>
    <n v="2017"/>
    <n v="13"/>
    <x v="0"/>
    <s v="13B"/>
    <x v="13"/>
    <n v="1"/>
    <n v="7"/>
    <x v="0"/>
    <x v="0"/>
  </r>
  <r>
    <n v="14404"/>
    <n v="118882075"/>
    <s v="Recovery"/>
    <n v="200"/>
    <s v="AHY"/>
    <s v="M"/>
    <n v="9"/>
    <n v="2017"/>
    <n v="2017"/>
    <n v="13"/>
    <x v="0"/>
    <s v="13B"/>
    <x v="13"/>
    <n v="1"/>
    <n v="7"/>
    <x v="0"/>
    <x v="0"/>
  </r>
  <r>
    <n v="14405"/>
    <n v="118882076"/>
    <s v="Recovery"/>
    <n v="200"/>
    <s v="AHY"/>
    <s v="M"/>
    <n v="12"/>
    <n v="2018"/>
    <n v="2018"/>
    <n v="14"/>
    <x v="0"/>
    <s v="14B"/>
    <x v="10"/>
    <n v="1"/>
    <n v="7"/>
    <x v="0"/>
    <x v="0"/>
  </r>
  <r>
    <n v="14408"/>
    <n v="118882079"/>
    <s v="Recovery"/>
    <n v="200"/>
    <s v="AHY"/>
    <s v="M"/>
    <n v="1"/>
    <n v="2017"/>
    <n v="2016"/>
    <n v="12"/>
    <x v="0"/>
    <s v="12B"/>
    <x v="12"/>
    <n v="1"/>
    <n v="7"/>
    <x v="0"/>
    <x v="0"/>
  </r>
  <r>
    <n v="14411"/>
    <n v="118882082"/>
    <s v="Recovery"/>
    <n v="200"/>
    <s v="AHY"/>
    <s v="F"/>
    <n v="11"/>
    <n v="2017"/>
    <n v="2017"/>
    <n v="13"/>
    <x v="0"/>
    <s v="13B"/>
    <x v="13"/>
    <n v="1"/>
    <n v="7"/>
    <x v="0"/>
    <x v="0"/>
  </r>
  <r>
    <n v="14425"/>
    <n v="116816214"/>
    <s v="Recovery"/>
    <n v="200"/>
    <s v="AHY"/>
    <s v="F"/>
    <n v="12"/>
    <n v="2017"/>
    <n v="2017"/>
    <n v="13"/>
    <x v="0"/>
    <s v="13B"/>
    <x v="13"/>
    <n v="1"/>
    <n v="7"/>
    <x v="0"/>
    <x v="0"/>
  </r>
  <r>
    <n v="14434"/>
    <n v="116816223"/>
    <s v="Recovery"/>
    <n v="200"/>
    <s v="AHY"/>
    <s v="F"/>
    <n v="11"/>
    <n v="2019"/>
    <n v="2019"/>
    <n v="15"/>
    <x v="0"/>
    <s v="15B"/>
    <x v="11"/>
    <n v="1"/>
    <n v="7"/>
    <x v="0"/>
    <x v="0"/>
  </r>
  <r>
    <n v="14444"/>
    <n v="116816233"/>
    <s v="Recovery"/>
    <n v="200"/>
    <s v="AHY"/>
    <s v="F"/>
    <n v="1"/>
    <n v="2018"/>
    <n v="2017"/>
    <n v="13"/>
    <x v="0"/>
    <s v="13B"/>
    <x v="13"/>
    <n v="1"/>
    <n v="7"/>
    <x v="0"/>
    <x v="0"/>
  </r>
  <r>
    <n v="14455"/>
    <n v="116816244"/>
    <s v="Recovery"/>
    <n v="200"/>
    <s v="AHY"/>
    <s v="F"/>
    <n v="1"/>
    <n v="2017"/>
    <n v="2016"/>
    <n v="12"/>
    <x v="0"/>
    <s v="12B"/>
    <x v="12"/>
    <n v="1"/>
    <n v="7"/>
    <x v="0"/>
    <x v="0"/>
  </r>
  <r>
    <n v="14469"/>
    <n v="116816258"/>
    <s v="Recovery"/>
    <n v="200"/>
    <s v="AHY"/>
    <s v="M"/>
    <n v="1"/>
    <n v="2021"/>
    <n v="2020"/>
    <n v="16"/>
    <x v="0"/>
    <s v="16B"/>
    <x v="15"/>
    <n v="1"/>
    <n v="7"/>
    <x v="0"/>
    <x v="0"/>
  </r>
  <r>
    <n v="14480"/>
    <n v="116816269"/>
    <s v="Recovery"/>
    <n v="200"/>
    <s v="AHY"/>
    <s v="M"/>
    <n v="1"/>
    <n v="2021"/>
    <n v="2020"/>
    <n v="16"/>
    <x v="0"/>
    <s v="16B"/>
    <x v="15"/>
    <n v="1"/>
    <n v="7"/>
    <x v="0"/>
    <x v="0"/>
  </r>
  <r>
    <n v="14492"/>
    <n v="116816281"/>
    <s v="Recovery"/>
    <n v="200"/>
    <s v="AHY"/>
    <s v="F"/>
    <n v="12"/>
    <n v="2020"/>
    <n v="2020"/>
    <n v="16"/>
    <x v="0"/>
    <s v="16B"/>
    <x v="15"/>
    <n v="1"/>
    <n v="7"/>
    <x v="0"/>
    <x v="0"/>
  </r>
  <r>
    <n v="14493"/>
    <n v="116816282"/>
    <s v="Recovery"/>
    <n v="200"/>
    <s v="AHY"/>
    <s v="F"/>
    <n v="12"/>
    <n v="2018"/>
    <n v="2018"/>
    <n v="14"/>
    <x v="0"/>
    <s v="14B"/>
    <x v="10"/>
    <n v="1"/>
    <n v="7"/>
    <x v="0"/>
    <x v="0"/>
  </r>
  <r>
    <n v="14501"/>
    <n v="116816290"/>
    <s v="Recovery"/>
    <n v="200"/>
    <s v="AHY"/>
    <s v="M"/>
    <n v="1"/>
    <n v="2019"/>
    <n v="2018"/>
    <n v="14"/>
    <x v="0"/>
    <s v="14B"/>
    <x v="10"/>
    <n v="1"/>
    <n v="7"/>
    <x v="0"/>
    <x v="0"/>
  </r>
  <r>
    <n v="14508"/>
    <n v="116816297"/>
    <s v="Recovery"/>
    <n v="200"/>
    <s v="AHY"/>
    <s v="M"/>
    <n v="1"/>
    <n v="2018"/>
    <n v="2017"/>
    <n v="13"/>
    <x v="0"/>
    <s v="13B"/>
    <x v="13"/>
    <n v="1"/>
    <n v="7"/>
    <x v="0"/>
    <x v="0"/>
  </r>
  <r>
    <n v="14517"/>
    <n v="116816306"/>
    <s v="Recovery"/>
    <n v="200"/>
    <s v="AHY"/>
    <s v="M"/>
    <n v="11"/>
    <n v="2020"/>
    <n v="2020"/>
    <n v="16"/>
    <x v="0"/>
    <s v="16B"/>
    <x v="15"/>
    <n v="1"/>
    <n v="7"/>
    <x v="0"/>
    <x v="0"/>
  </r>
  <r>
    <n v="14519"/>
    <n v="116816308"/>
    <s v="Recovery"/>
    <n v="200"/>
    <s v="AHY"/>
    <s v="F"/>
    <n v="9"/>
    <n v="2018"/>
    <n v="2018"/>
    <n v="14"/>
    <x v="0"/>
    <s v="14B"/>
    <x v="10"/>
    <n v="1"/>
    <n v="36"/>
    <x v="12"/>
    <x v="1"/>
  </r>
  <r>
    <n v="14523"/>
    <n v="116816312"/>
    <s v="Recovery"/>
    <n v="200"/>
    <s v="AHY"/>
    <s v="M"/>
    <n v="12"/>
    <n v="2016"/>
    <n v="2016"/>
    <n v="12"/>
    <x v="0"/>
    <s v="12B"/>
    <x v="12"/>
    <n v="1"/>
    <n v="7"/>
    <x v="0"/>
    <x v="0"/>
  </r>
  <r>
    <n v="14526"/>
    <n v="116816315"/>
    <s v="Recovery"/>
    <n v="200"/>
    <s v="AHY"/>
    <s v="F"/>
    <n v="1"/>
    <n v="2018"/>
    <n v="2017"/>
    <n v="13"/>
    <x v="0"/>
    <s v="13B"/>
    <x v="13"/>
    <n v="1"/>
    <n v="7"/>
    <x v="0"/>
    <x v="0"/>
  </r>
  <r>
    <n v="14527"/>
    <n v="116816316"/>
    <s v="Recovery"/>
    <n v="200"/>
    <s v="AHY"/>
    <s v="M"/>
    <n v="12"/>
    <n v="2020"/>
    <n v="2020"/>
    <n v="16"/>
    <x v="0"/>
    <s v="16B"/>
    <x v="15"/>
    <n v="1"/>
    <n v="7"/>
    <x v="0"/>
    <x v="0"/>
  </r>
  <r>
    <n v="14535"/>
    <n v="116816324"/>
    <s v="Recovery"/>
    <n v="200"/>
    <s v="AHY"/>
    <s v="M"/>
    <n v="12"/>
    <n v="2020"/>
    <n v="2020"/>
    <n v="16"/>
    <x v="0"/>
    <s v="16B"/>
    <x v="15"/>
    <n v="1"/>
    <n v="7"/>
    <x v="0"/>
    <x v="0"/>
  </r>
  <r>
    <n v="14536"/>
    <n v="116816325"/>
    <s v="Recovery"/>
    <n v="200"/>
    <s v="AHY"/>
    <s v="F"/>
    <n v="12"/>
    <n v="2016"/>
    <n v="2016"/>
    <n v="12"/>
    <x v="0"/>
    <s v="12B"/>
    <x v="12"/>
    <n v="1"/>
    <n v="7"/>
    <x v="0"/>
    <x v="0"/>
  </r>
  <r>
    <n v="14540"/>
    <n v="116816329"/>
    <s v="Recovery"/>
    <n v="200"/>
    <s v="AHY"/>
    <s v="M"/>
    <n v="12"/>
    <n v="2020"/>
    <n v="2020"/>
    <n v="16"/>
    <x v="0"/>
    <s v="16B"/>
    <x v="15"/>
    <n v="1"/>
    <n v="7"/>
    <x v="0"/>
    <x v="0"/>
  </r>
  <r>
    <n v="14542"/>
    <n v="116816331"/>
    <s v="Recovery"/>
    <n v="200"/>
    <s v="AHY"/>
    <s v="M"/>
    <n v="1"/>
    <n v="2018"/>
    <n v="2017"/>
    <n v="13"/>
    <x v="0"/>
    <s v="13B"/>
    <x v="13"/>
    <n v="1"/>
    <n v="7"/>
    <x v="0"/>
    <x v="0"/>
  </r>
  <r>
    <n v="14546"/>
    <n v="116816335"/>
    <s v="Recovery"/>
    <n v="200"/>
    <s v="AHY"/>
    <s v="F"/>
    <n v="1"/>
    <n v="2018"/>
    <n v="2017"/>
    <n v="13"/>
    <x v="0"/>
    <s v="13B"/>
    <x v="13"/>
    <n v="1"/>
    <n v="7"/>
    <x v="0"/>
    <x v="0"/>
  </r>
  <r>
    <n v="14548"/>
    <n v="116816337"/>
    <s v="Recovery"/>
    <n v="200"/>
    <s v="AHY"/>
    <s v="F"/>
    <n v="12"/>
    <n v="2020"/>
    <n v="2020"/>
    <n v="16"/>
    <x v="0"/>
    <s v="16B"/>
    <x v="15"/>
    <n v="1"/>
    <n v="7"/>
    <x v="0"/>
    <x v="0"/>
  </r>
  <r>
    <n v="14550"/>
    <n v="116816339"/>
    <s v="Recovery"/>
    <n v="200"/>
    <s v="AHY"/>
    <s v="M"/>
    <n v="1"/>
    <n v="2021"/>
    <n v="2020"/>
    <n v="16"/>
    <x v="0"/>
    <s v="16B"/>
    <x v="15"/>
    <n v="1"/>
    <n v="7"/>
    <x v="0"/>
    <x v="0"/>
  </r>
  <r>
    <n v="14551"/>
    <n v="116816340"/>
    <s v="Recovery"/>
    <n v="200"/>
    <s v="AHY"/>
    <s v="M"/>
    <n v="9"/>
    <n v="2018"/>
    <n v="2018"/>
    <n v="14"/>
    <x v="0"/>
    <s v="14B"/>
    <x v="10"/>
    <n v="1"/>
    <n v="7"/>
    <x v="0"/>
    <x v="0"/>
  </r>
  <r>
    <n v="14552"/>
    <n v="116816341"/>
    <s v="Recovery"/>
    <n v="200"/>
    <s v="AHY"/>
    <s v="F"/>
    <n v="12"/>
    <n v="2016"/>
    <n v="2016"/>
    <n v="12"/>
    <x v="0"/>
    <s v="12B"/>
    <x v="12"/>
    <n v="1"/>
    <n v="7"/>
    <x v="0"/>
    <x v="0"/>
  </r>
  <r>
    <n v="14559"/>
    <n v="116816348"/>
    <s v="Recovery"/>
    <n v="200"/>
    <s v="AHY"/>
    <s v="F"/>
    <n v="1"/>
    <n v="2018"/>
    <n v="2017"/>
    <n v="13"/>
    <x v="0"/>
    <s v="13B"/>
    <x v="13"/>
    <n v="1"/>
    <n v="7"/>
    <x v="0"/>
    <x v="0"/>
  </r>
  <r>
    <n v="14567"/>
    <n v="116816356"/>
    <s v="Recovery"/>
    <n v="200"/>
    <s v="AHY"/>
    <s v="M"/>
    <n v="1"/>
    <n v="2021"/>
    <n v="2020"/>
    <n v="16"/>
    <x v="0"/>
    <s v="16B"/>
    <x v="15"/>
    <n v="1"/>
    <n v="7"/>
    <x v="0"/>
    <x v="0"/>
  </r>
  <r>
    <n v="14570"/>
    <n v="116816359"/>
    <s v="Recovery"/>
    <n v="200"/>
    <s v="AHY"/>
    <s v="M"/>
    <n v="12"/>
    <n v="2020"/>
    <n v="2020"/>
    <n v="16"/>
    <x v="0"/>
    <s v="16B"/>
    <x v="15"/>
    <n v="1"/>
    <n v="7"/>
    <x v="0"/>
    <x v="0"/>
  </r>
  <r>
    <n v="14571"/>
    <n v="116816360"/>
    <s v="Recovery"/>
    <n v="200"/>
    <s v="AHY"/>
    <s v="M"/>
    <n v="1"/>
    <n v="2019"/>
    <n v="2018"/>
    <n v="14"/>
    <x v="0"/>
    <s v="14B"/>
    <x v="10"/>
    <n v="1"/>
    <n v="7"/>
    <x v="0"/>
    <x v="0"/>
  </r>
  <r>
    <n v="14576"/>
    <n v="116816365"/>
    <s v="Recovery"/>
    <n v="200"/>
    <s v="AHY"/>
    <s v="F"/>
    <n v="1"/>
    <n v="2021"/>
    <n v="2020"/>
    <n v="16"/>
    <x v="0"/>
    <s v="16B"/>
    <x v="15"/>
    <n v="1"/>
    <n v="7"/>
    <x v="0"/>
    <x v="0"/>
  </r>
  <r>
    <n v="14577"/>
    <n v="116816366"/>
    <s v="Recovery"/>
    <n v="200"/>
    <s v="AHY"/>
    <s v="M"/>
    <n v="9"/>
    <n v="2018"/>
    <n v="2018"/>
    <n v="14"/>
    <x v="0"/>
    <s v="14B"/>
    <x v="10"/>
    <n v="1"/>
    <n v="7"/>
    <x v="0"/>
    <x v="0"/>
  </r>
  <r>
    <n v="14580"/>
    <n v="116816369"/>
    <s v="Recovery"/>
    <n v="200"/>
    <s v="AHY"/>
    <s v="M"/>
    <n v="12"/>
    <n v="2019"/>
    <n v="2019"/>
    <n v="15"/>
    <x v="0"/>
    <s v="15B"/>
    <x v="11"/>
    <n v="1"/>
    <n v="7"/>
    <x v="0"/>
    <x v="0"/>
  </r>
  <r>
    <n v="14589"/>
    <n v="116816378"/>
    <s v="Recovery"/>
    <n v="200"/>
    <s v="AHY"/>
    <s v="M"/>
    <n v="1"/>
    <n v="2021"/>
    <n v="2020"/>
    <n v="16"/>
    <x v="0"/>
    <s v="16B"/>
    <x v="15"/>
    <n v="1"/>
    <n v="7"/>
    <x v="0"/>
    <x v="0"/>
  </r>
  <r>
    <n v="14626"/>
    <n v="116864485"/>
    <s v="Recovery"/>
    <n v="200"/>
    <s v="AHY"/>
    <s v="M"/>
    <n v="9"/>
    <n v="2016"/>
    <n v="2016"/>
    <n v="12"/>
    <x v="0"/>
    <s v="12B"/>
    <x v="12"/>
    <n v="1"/>
    <n v="7"/>
    <x v="0"/>
    <x v="0"/>
  </r>
  <r>
    <n v="14633"/>
    <n v="116864492"/>
    <s v="Recovery"/>
    <n v="200"/>
    <s v="AHY"/>
    <s v="F"/>
    <n v="9"/>
    <n v="2019"/>
    <n v="2019"/>
    <n v="15"/>
    <x v="0"/>
    <s v="15B"/>
    <x v="11"/>
    <n v="1"/>
    <n v="7"/>
    <x v="0"/>
    <x v="0"/>
  </r>
  <r>
    <n v="14638"/>
    <n v="116864497"/>
    <s v="Recovery"/>
    <n v="200"/>
    <s v="AHY"/>
    <s v="M"/>
    <n v="9"/>
    <n v="2020"/>
    <n v="2020"/>
    <n v="16"/>
    <x v="0"/>
    <s v="16B"/>
    <x v="15"/>
    <n v="1"/>
    <n v="7"/>
    <x v="0"/>
    <x v="0"/>
  </r>
  <r>
    <n v="14640"/>
    <n v="116864499"/>
    <s v="Recovery"/>
    <n v="200"/>
    <s v="AHY"/>
    <s v="F"/>
    <n v="2"/>
    <n v="2018"/>
    <n v="2017"/>
    <n v="13"/>
    <x v="0"/>
    <s v="13B"/>
    <x v="13"/>
    <n v="1"/>
    <n v="7"/>
    <x v="0"/>
    <x v="0"/>
  </r>
  <r>
    <n v="14644"/>
    <n v="118882085"/>
    <s v="Recovery"/>
    <n v="200"/>
    <s v="AHY"/>
    <s v="F"/>
    <n v="9"/>
    <n v="2017"/>
    <n v="2017"/>
    <n v="13"/>
    <x v="0"/>
    <s v="13B"/>
    <x v="13"/>
    <n v="1"/>
    <n v="7"/>
    <x v="0"/>
    <x v="0"/>
  </r>
  <r>
    <n v="14645"/>
    <n v="118882086"/>
    <s v="Recovery"/>
    <n v="200"/>
    <s v="AHY"/>
    <s v="M"/>
    <n v="12"/>
    <n v="2017"/>
    <n v="2017"/>
    <n v="13"/>
    <x v="0"/>
    <s v="13B"/>
    <x v="13"/>
    <n v="1"/>
    <n v="7"/>
    <x v="0"/>
    <x v="0"/>
  </r>
  <r>
    <n v="14646"/>
    <n v="118882087"/>
    <s v="Recovery"/>
    <n v="200"/>
    <s v="AHY"/>
    <s v="M"/>
    <n v="9"/>
    <n v="2016"/>
    <n v="2016"/>
    <n v="12"/>
    <x v="0"/>
    <s v="12B"/>
    <x v="12"/>
    <n v="1"/>
    <n v="7"/>
    <x v="0"/>
    <x v="0"/>
  </r>
  <r>
    <n v="14652"/>
    <n v="118882093"/>
    <s v="Recovery"/>
    <n v="200"/>
    <s v="HY"/>
    <s v="M"/>
    <n v="9"/>
    <n v="2016"/>
    <n v="2016"/>
    <n v="12"/>
    <x v="0"/>
    <s v="12B"/>
    <x v="12"/>
    <n v="1"/>
    <n v="7"/>
    <x v="0"/>
    <x v="0"/>
  </r>
  <r>
    <n v="14653"/>
    <n v="118882094"/>
    <s v="Recovery"/>
    <n v="200"/>
    <s v="AHY"/>
    <s v="M"/>
    <n v="9"/>
    <n v="2018"/>
    <n v="2018"/>
    <n v="14"/>
    <x v="0"/>
    <s v="14B"/>
    <x v="10"/>
    <n v="1"/>
    <n v="7"/>
    <x v="0"/>
    <x v="0"/>
  </r>
  <r>
    <n v="14657"/>
    <n v="118882098"/>
    <s v="Recovery"/>
    <n v="200"/>
    <s v="AHY"/>
    <s v="M"/>
    <n v="9"/>
    <n v="2017"/>
    <n v="2017"/>
    <n v="13"/>
    <x v="0"/>
    <s v="13B"/>
    <x v="13"/>
    <n v="1"/>
    <n v="7"/>
    <x v="0"/>
    <x v="0"/>
  </r>
  <r>
    <n v="14658"/>
    <n v="118882099"/>
    <s v="Recovery"/>
    <n v="200"/>
    <s v="HY"/>
    <s v="F"/>
    <n v="9"/>
    <n v="2016"/>
    <n v="2016"/>
    <n v="12"/>
    <x v="0"/>
    <s v="12B"/>
    <x v="12"/>
    <n v="1"/>
    <n v="7"/>
    <x v="0"/>
    <x v="0"/>
  </r>
  <r>
    <n v="14659"/>
    <n v="118882100"/>
    <s v="Recovery"/>
    <n v="200"/>
    <s v="AHY"/>
    <s v="F"/>
    <n v="9"/>
    <n v="2018"/>
    <n v="2018"/>
    <n v="14"/>
    <x v="0"/>
    <s v="14B"/>
    <x v="10"/>
    <n v="1"/>
    <n v="7"/>
    <x v="0"/>
    <x v="0"/>
  </r>
  <r>
    <n v="14665"/>
    <n v="118882106"/>
    <s v="Recovery"/>
    <n v="200"/>
    <s v="AHY"/>
    <s v="F"/>
    <n v="9"/>
    <n v="2018"/>
    <n v="2018"/>
    <n v="14"/>
    <x v="0"/>
    <s v="14B"/>
    <x v="10"/>
    <n v="1"/>
    <n v="7"/>
    <x v="0"/>
    <x v="0"/>
  </r>
  <r>
    <n v="14668"/>
    <n v="118882109"/>
    <s v="Recovery"/>
    <n v="200"/>
    <s v="AHY"/>
    <s v="F"/>
    <n v="1"/>
    <n v="2020"/>
    <n v="2019"/>
    <n v="15"/>
    <x v="0"/>
    <s v="15B"/>
    <x v="11"/>
    <n v="1"/>
    <n v="7"/>
    <x v="0"/>
    <x v="0"/>
  </r>
  <r>
    <n v="14670"/>
    <n v="118882111"/>
    <s v="Recovery"/>
    <n v="200"/>
    <s v="AHY"/>
    <s v="F"/>
    <n v="9"/>
    <n v="2017"/>
    <n v="2017"/>
    <n v="13"/>
    <x v="0"/>
    <s v="13B"/>
    <x v="13"/>
    <n v="1"/>
    <n v="7"/>
    <x v="0"/>
    <x v="0"/>
  </r>
  <r>
    <n v="14671"/>
    <n v="118882112"/>
    <s v="Recovery"/>
    <n v="200"/>
    <s v="HY"/>
    <s v="F"/>
    <n v="9"/>
    <n v="2016"/>
    <n v="2016"/>
    <n v="12"/>
    <x v="0"/>
    <s v="12B"/>
    <x v="12"/>
    <n v="1"/>
    <n v="7"/>
    <x v="0"/>
    <x v="0"/>
  </r>
  <r>
    <n v="14676"/>
    <n v="118882117"/>
    <s v="Recovery"/>
    <n v="200"/>
    <s v="AHY"/>
    <s v="M"/>
    <n v="9"/>
    <n v="2017"/>
    <n v="2017"/>
    <n v="13"/>
    <x v="0"/>
    <s v="13B"/>
    <x v="13"/>
    <n v="1"/>
    <n v="7"/>
    <x v="0"/>
    <x v="0"/>
  </r>
  <r>
    <n v="14678"/>
    <n v="118882119"/>
    <s v="Recovery"/>
    <n v="200"/>
    <s v="AHY"/>
    <s v="F"/>
    <n v="9"/>
    <n v="2017"/>
    <n v="2017"/>
    <n v="13"/>
    <x v="0"/>
    <s v="13B"/>
    <x v="13"/>
    <n v="1"/>
    <n v="7"/>
    <x v="0"/>
    <x v="0"/>
  </r>
  <r>
    <n v="14680"/>
    <n v="118882121"/>
    <s v="Recovery"/>
    <n v="200"/>
    <s v="AHY"/>
    <s v="F"/>
    <n v="1"/>
    <n v="2020"/>
    <n v="2019"/>
    <n v="15"/>
    <x v="0"/>
    <s v="15B"/>
    <x v="11"/>
    <n v="1"/>
    <n v="7"/>
    <x v="0"/>
    <x v="0"/>
  </r>
  <r>
    <n v="14683"/>
    <n v="118882124"/>
    <s v="Recovery"/>
    <n v="200"/>
    <s v="AHY"/>
    <s v="M"/>
    <n v="9"/>
    <n v="2017"/>
    <n v="2017"/>
    <n v="13"/>
    <x v="0"/>
    <s v="13B"/>
    <x v="13"/>
    <n v="1"/>
    <n v="7"/>
    <x v="0"/>
    <x v="0"/>
  </r>
  <r>
    <n v="14698"/>
    <n v="118882139"/>
    <s v="Recovery"/>
    <n v="200"/>
    <s v="AHY"/>
    <s v="F"/>
    <n v="1"/>
    <n v="2017"/>
    <n v="2016"/>
    <n v="12"/>
    <x v="0"/>
    <s v="12B"/>
    <x v="12"/>
    <n v="1"/>
    <n v="7"/>
    <x v="0"/>
    <x v="0"/>
  </r>
  <r>
    <n v="14700"/>
    <n v="118882141"/>
    <s v="Recovery"/>
    <n v="200"/>
    <s v="AHY"/>
    <s v="F"/>
    <n v="9"/>
    <n v="2018"/>
    <n v="2018"/>
    <n v="14"/>
    <x v="0"/>
    <s v="14B"/>
    <x v="10"/>
    <n v="1"/>
    <n v="7"/>
    <x v="0"/>
    <x v="0"/>
  </r>
  <r>
    <n v="14701"/>
    <n v="118882142"/>
    <s v="Recovery"/>
    <n v="200"/>
    <s v="AHY"/>
    <s v="M"/>
    <n v="12"/>
    <n v="2017"/>
    <n v="2017"/>
    <n v="13"/>
    <x v="0"/>
    <s v="13B"/>
    <x v="13"/>
    <n v="1"/>
    <n v="7"/>
    <x v="0"/>
    <x v="0"/>
  </r>
  <r>
    <n v="14706"/>
    <n v="118882147"/>
    <s v="Recovery"/>
    <n v="200"/>
    <s v="AHY"/>
    <s v="M"/>
    <n v="1"/>
    <n v="2018"/>
    <n v="2017"/>
    <n v="13"/>
    <x v="0"/>
    <s v="13B"/>
    <x v="13"/>
    <n v="1"/>
    <n v="7"/>
    <x v="0"/>
    <x v="0"/>
  </r>
  <r>
    <n v="14713"/>
    <n v="118882154"/>
    <s v="Recovery"/>
    <n v="200"/>
    <s v="AHY"/>
    <s v="M"/>
    <n v="9"/>
    <n v="2018"/>
    <n v="2018"/>
    <n v="14"/>
    <x v="0"/>
    <s v="14B"/>
    <x v="10"/>
    <n v="1"/>
    <n v="7"/>
    <x v="0"/>
    <x v="0"/>
  </r>
  <r>
    <n v="14716"/>
    <n v="118882157"/>
    <s v="Recovery"/>
    <n v="200"/>
    <s v="AHY"/>
    <s v="M"/>
    <n v="9"/>
    <n v="2017"/>
    <n v="2017"/>
    <n v="13"/>
    <x v="0"/>
    <s v="13B"/>
    <x v="13"/>
    <n v="1"/>
    <n v="7"/>
    <x v="0"/>
    <x v="0"/>
  </r>
  <r>
    <n v="14722"/>
    <n v="118882163"/>
    <s v="Recovery"/>
    <n v="200"/>
    <s v="AHY"/>
    <s v="F"/>
    <n v="12"/>
    <n v="2016"/>
    <n v="2016"/>
    <n v="12"/>
    <x v="0"/>
    <s v="12B"/>
    <x v="12"/>
    <n v="1"/>
    <n v="7"/>
    <x v="0"/>
    <x v="0"/>
  </r>
  <r>
    <n v="14723"/>
    <n v="118882164"/>
    <s v="Recovery"/>
    <n v="200"/>
    <s v="AHY"/>
    <s v="F"/>
    <n v="9"/>
    <n v="2017"/>
    <n v="2017"/>
    <n v="13"/>
    <x v="0"/>
    <s v="13B"/>
    <x v="13"/>
    <n v="1"/>
    <n v="7"/>
    <x v="0"/>
    <x v="0"/>
  </r>
  <r>
    <n v="14725"/>
    <n v="118882166"/>
    <s v="Recovery"/>
    <n v="200"/>
    <s v="AHY"/>
    <s v="F"/>
    <n v="8"/>
    <n v="2016"/>
    <n v="2016"/>
    <n v="12"/>
    <x v="0"/>
    <s v="12B"/>
    <x v="12"/>
    <n v="1"/>
    <n v="7"/>
    <x v="0"/>
    <x v="0"/>
  </r>
  <r>
    <n v="14726"/>
    <n v="118882167"/>
    <s v="Recovery"/>
    <n v="200"/>
    <s v="AHY"/>
    <s v="F"/>
    <n v="9"/>
    <n v="2020"/>
    <n v="2020"/>
    <n v="16"/>
    <x v="0"/>
    <s v="16B"/>
    <x v="15"/>
    <n v="1"/>
    <n v="7"/>
    <x v="0"/>
    <x v="0"/>
  </r>
  <r>
    <n v="14728"/>
    <n v="118882169"/>
    <s v="Recovery"/>
    <n v="200"/>
    <s v="AHY"/>
    <s v="M"/>
    <n v="9"/>
    <n v="2018"/>
    <n v="2018"/>
    <n v="14"/>
    <x v="0"/>
    <s v="14B"/>
    <x v="10"/>
    <n v="1"/>
    <n v="7"/>
    <x v="0"/>
    <x v="0"/>
  </r>
  <r>
    <n v="14733"/>
    <n v="118882174"/>
    <s v="Recovery"/>
    <n v="200"/>
    <s v="AHY"/>
    <s v="M"/>
    <n v="9"/>
    <n v="2016"/>
    <n v="2016"/>
    <n v="12"/>
    <x v="0"/>
    <s v="12B"/>
    <x v="12"/>
    <n v="1"/>
    <n v="7"/>
    <x v="0"/>
    <x v="0"/>
  </r>
  <r>
    <n v="14750"/>
    <n v="118882191"/>
    <s v="Recovery"/>
    <n v="200"/>
    <s v="AHY"/>
    <s v="F"/>
    <n v="9"/>
    <n v="2020"/>
    <n v="2020"/>
    <n v="16"/>
    <x v="0"/>
    <s v="16B"/>
    <x v="15"/>
    <n v="1"/>
    <n v="7"/>
    <x v="0"/>
    <x v="0"/>
  </r>
  <r>
    <n v="14756"/>
    <n v="118882197"/>
    <s v="Recovery"/>
    <n v="200"/>
    <s v="AHY"/>
    <s v="M"/>
    <n v="9"/>
    <n v="2018"/>
    <n v="2018"/>
    <n v="14"/>
    <x v="0"/>
    <s v="14B"/>
    <x v="10"/>
    <n v="1"/>
    <n v="7"/>
    <x v="0"/>
    <x v="0"/>
  </r>
  <r>
    <n v="14757"/>
    <n v="118882198"/>
    <s v="Recovery"/>
    <n v="200"/>
    <s v="AHY"/>
    <s v="F"/>
    <n v="1"/>
    <n v="2020"/>
    <n v="2019"/>
    <n v="15"/>
    <x v="0"/>
    <s v="15B"/>
    <x v="11"/>
    <n v="1"/>
    <n v="7"/>
    <x v="0"/>
    <x v="0"/>
  </r>
  <r>
    <n v="14764"/>
    <n v="118882205"/>
    <s v="Recovery"/>
    <n v="200"/>
    <s v="AHY"/>
    <s v="F"/>
    <n v="12"/>
    <n v="2020"/>
    <n v="2020"/>
    <n v="16"/>
    <x v="0"/>
    <s v="16B"/>
    <x v="15"/>
    <n v="1"/>
    <n v="7"/>
    <x v="0"/>
    <x v="0"/>
  </r>
  <r>
    <n v="14767"/>
    <n v="118882208"/>
    <s v="Recovery"/>
    <n v="200"/>
    <s v="AHY"/>
    <s v="F"/>
    <n v="9"/>
    <n v="2017"/>
    <n v="2017"/>
    <n v="13"/>
    <x v="0"/>
    <s v="13B"/>
    <x v="13"/>
    <n v="1"/>
    <n v="7"/>
    <x v="0"/>
    <x v="0"/>
  </r>
  <r>
    <n v="14768"/>
    <n v="118882209"/>
    <s v="Recovery"/>
    <n v="200"/>
    <s v="AHY"/>
    <s v="F"/>
    <n v="1"/>
    <n v="2018"/>
    <n v="2017"/>
    <n v="13"/>
    <x v="0"/>
    <s v="13B"/>
    <x v="13"/>
    <n v="1"/>
    <n v="7"/>
    <x v="0"/>
    <x v="0"/>
  </r>
  <r>
    <n v="14771"/>
    <n v="118882212"/>
    <s v="Recovery"/>
    <n v="200"/>
    <s v="AHY"/>
    <s v="M"/>
    <n v="9"/>
    <n v="2016"/>
    <n v="2016"/>
    <n v="12"/>
    <x v="0"/>
    <s v="12B"/>
    <x v="12"/>
    <n v="1"/>
    <n v="7"/>
    <x v="0"/>
    <x v="0"/>
  </r>
  <r>
    <n v="14773"/>
    <n v="118882214"/>
    <s v="Recovery"/>
    <n v="200"/>
    <s v="AHY"/>
    <s v="M"/>
    <n v="9"/>
    <n v="2017"/>
    <n v="2017"/>
    <n v="13"/>
    <x v="0"/>
    <s v="13B"/>
    <x v="13"/>
    <n v="1"/>
    <n v="7"/>
    <x v="0"/>
    <x v="0"/>
  </r>
  <r>
    <n v="14776"/>
    <n v="118882217"/>
    <s v="Recovery"/>
    <n v="200"/>
    <s v="AHY"/>
    <s v="M"/>
    <n v="9"/>
    <n v="2018"/>
    <n v="2018"/>
    <n v="14"/>
    <x v="0"/>
    <s v="14B"/>
    <x v="10"/>
    <n v="1"/>
    <n v="7"/>
    <x v="0"/>
    <x v="0"/>
  </r>
  <r>
    <n v="14781"/>
    <n v="118882222"/>
    <s v="Recovery"/>
    <n v="200"/>
    <s v="AHY"/>
    <s v="F"/>
    <n v="9"/>
    <n v="2020"/>
    <n v="2020"/>
    <n v="16"/>
    <x v="0"/>
    <s v="16B"/>
    <x v="15"/>
    <n v="1"/>
    <n v="7"/>
    <x v="0"/>
    <x v="0"/>
  </r>
  <r>
    <n v="14784"/>
    <n v="118882225"/>
    <s v="Recovery"/>
    <n v="200"/>
    <s v="HY"/>
    <s v="F"/>
    <n v="9"/>
    <n v="2016"/>
    <n v="2016"/>
    <n v="12"/>
    <x v="0"/>
    <s v="12B"/>
    <x v="12"/>
    <n v="1"/>
    <n v="7"/>
    <x v="0"/>
    <x v="0"/>
  </r>
  <r>
    <n v="14786"/>
    <n v="118882227"/>
    <s v="Recovery"/>
    <n v="200"/>
    <s v="AHY"/>
    <s v="M"/>
    <n v="9"/>
    <n v="2017"/>
    <n v="2017"/>
    <n v="13"/>
    <x v="0"/>
    <s v="13B"/>
    <x v="13"/>
    <n v="1"/>
    <n v="7"/>
    <x v="0"/>
    <x v="0"/>
  </r>
  <r>
    <n v="14791"/>
    <n v="118882232"/>
    <s v="Recovery"/>
    <n v="200"/>
    <s v="AHY"/>
    <s v="F"/>
    <n v="9"/>
    <n v="2016"/>
    <n v="2016"/>
    <n v="12"/>
    <x v="0"/>
    <s v="12B"/>
    <x v="12"/>
    <n v="1"/>
    <n v="7"/>
    <x v="0"/>
    <x v="0"/>
  </r>
  <r>
    <n v="14803"/>
    <n v="118882244"/>
    <s v="Recovery"/>
    <n v="200"/>
    <s v="AHY"/>
    <s v="M"/>
    <n v="11"/>
    <n v="2018"/>
    <n v="2018"/>
    <n v="14"/>
    <x v="0"/>
    <s v="14B"/>
    <x v="10"/>
    <n v="1"/>
    <n v="7"/>
    <x v="0"/>
    <x v="0"/>
  </r>
  <r>
    <n v="14804"/>
    <n v="118882245"/>
    <s v="Recovery"/>
    <n v="200"/>
    <s v="AHY"/>
    <s v="M"/>
    <n v="12"/>
    <n v="2017"/>
    <n v="2017"/>
    <n v="13"/>
    <x v="0"/>
    <s v="13B"/>
    <x v="13"/>
    <n v="1"/>
    <n v="7"/>
    <x v="0"/>
    <x v="0"/>
  </r>
  <r>
    <n v="14812"/>
    <n v="118882253"/>
    <s v="Recovery"/>
    <n v="200"/>
    <s v="AHY"/>
    <s v="M"/>
    <n v="12"/>
    <n v="2020"/>
    <n v="2020"/>
    <n v="16"/>
    <x v="0"/>
    <s v="16B"/>
    <x v="15"/>
    <n v="1"/>
    <n v="7"/>
    <x v="0"/>
    <x v="0"/>
  </r>
  <r>
    <n v="14816"/>
    <n v="118882257"/>
    <s v="Recovery"/>
    <n v="200"/>
    <s v="AHY"/>
    <s v="F"/>
    <n v="11"/>
    <n v="2018"/>
    <n v="2018"/>
    <n v="14"/>
    <x v="0"/>
    <s v="14B"/>
    <x v="10"/>
    <n v="1"/>
    <n v="7"/>
    <x v="0"/>
    <x v="0"/>
  </r>
  <r>
    <n v="14818"/>
    <n v="118882259"/>
    <s v="Recovery"/>
    <n v="200"/>
    <s v="AHY"/>
    <s v="M"/>
    <n v="11"/>
    <n v="2018"/>
    <n v="2018"/>
    <n v="14"/>
    <x v="0"/>
    <s v="14B"/>
    <x v="10"/>
    <n v="1"/>
    <n v="7"/>
    <x v="0"/>
    <x v="0"/>
  </r>
  <r>
    <n v="14820"/>
    <n v="118882261"/>
    <s v="Recovery"/>
    <n v="200"/>
    <s v="AHY"/>
    <s v="M"/>
    <n v="9"/>
    <n v="2017"/>
    <n v="2017"/>
    <n v="13"/>
    <x v="0"/>
    <s v="13B"/>
    <x v="13"/>
    <n v="1"/>
    <n v="7"/>
    <x v="0"/>
    <x v="0"/>
  </r>
  <r>
    <n v="14822"/>
    <n v="118882263"/>
    <s v="Recovery"/>
    <n v="200"/>
    <s v="AHY"/>
    <s v="M"/>
    <n v="1"/>
    <n v="2017"/>
    <n v="2016"/>
    <n v="12"/>
    <x v="0"/>
    <s v="12B"/>
    <x v="12"/>
    <n v="1"/>
    <n v="7"/>
    <x v="0"/>
    <x v="0"/>
  </r>
  <r>
    <n v="14825"/>
    <n v="118882266"/>
    <s v="Recovery"/>
    <n v="200"/>
    <s v="AHY"/>
    <s v="F"/>
    <n v="1"/>
    <n v="2020"/>
    <n v="2019"/>
    <n v="15"/>
    <x v="0"/>
    <s v="15B"/>
    <x v="11"/>
    <n v="1"/>
    <n v="7"/>
    <x v="0"/>
    <x v="0"/>
  </r>
  <r>
    <n v="14831"/>
    <n v="118882272"/>
    <s v="Recovery"/>
    <n v="200"/>
    <s v="AHY"/>
    <s v="M"/>
    <n v="12"/>
    <n v="2017"/>
    <n v="2017"/>
    <n v="13"/>
    <x v="0"/>
    <s v="13B"/>
    <x v="13"/>
    <n v="1"/>
    <n v="7"/>
    <x v="0"/>
    <x v="0"/>
  </r>
  <r>
    <n v="14833"/>
    <n v="118882274"/>
    <s v="Recovery"/>
    <n v="200"/>
    <s v="AHY"/>
    <s v="F"/>
    <n v="12"/>
    <n v="2020"/>
    <n v="2020"/>
    <n v="16"/>
    <x v="0"/>
    <s v="16B"/>
    <x v="15"/>
    <n v="1"/>
    <n v="7"/>
    <x v="0"/>
    <x v="0"/>
  </r>
  <r>
    <n v="14834"/>
    <n v="118882275"/>
    <s v="Recovery"/>
    <n v="200"/>
    <s v="AHY"/>
    <s v="M"/>
    <n v="1"/>
    <n v="2020"/>
    <n v="2019"/>
    <n v="15"/>
    <x v="0"/>
    <s v="15B"/>
    <x v="11"/>
    <n v="1"/>
    <n v="7"/>
    <x v="0"/>
    <x v="0"/>
  </r>
  <r>
    <n v="14848"/>
    <n v="118882289"/>
    <s v="Recovery"/>
    <n v="200"/>
    <s v="AHY"/>
    <s v="F"/>
    <n v="9"/>
    <n v="2017"/>
    <n v="2017"/>
    <n v="13"/>
    <x v="0"/>
    <s v="13B"/>
    <x v="13"/>
    <n v="1"/>
    <n v="7"/>
    <x v="0"/>
    <x v="0"/>
  </r>
  <r>
    <n v="14850"/>
    <n v="118882291"/>
    <s v="Recovery"/>
    <n v="200"/>
    <s v="AHY"/>
    <s v="F"/>
    <n v="9"/>
    <n v="2017"/>
    <n v="2017"/>
    <n v="13"/>
    <x v="0"/>
    <s v="13B"/>
    <x v="13"/>
    <n v="1"/>
    <n v="7"/>
    <x v="0"/>
    <x v="0"/>
  </r>
  <r>
    <n v="14855"/>
    <n v="118882296"/>
    <s v="Recovery"/>
    <n v="200"/>
    <s v="HY"/>
    <s v="F"/>
    <n v="12"/>
    <n v="2016"/>
    <n v="2016"/>
    <n v="12"/>
    <x v="0"/>
    <s v="12B"/>
    <x v="12"/>
    <n v="1"/>
    <n v="7"/>
    <x v="0"/>
    <x v="0"/>
  </r>
  <r>
    <n v="14862"/>
    <n v="118882303"/>
    <s v="Recovery"/>
    <n v="200"/>
    <s v="AHY"/>
    <s v="F"/>
    <n v="1"/>
    <n v="2021"/>
    <n v="2020"/>
    <n v="16"/>
    <x v="0"/>
    <s v="16B"/>
    <x v="15"/>
    <n v="1"/>
    <n v="7"/>
    <x v="0"/>
    <x v="0"/>
  </r>
  <r>
    <n v="14873"/>
    <n v="118882314"/>
    <s v="Recovery"/>
    <n v="200"/>
    <s v="AHY"/>
    <s v="F"/>
    <n v="1"/>
    <n v="2018"/>
    <n v="2017"/>
    <n v="13"/>
    <x v="0"/>
    <s v="13B"/>
    <x v="13"/>
    <n v="1"/>
    <n v="7"/>
    <x v="0"/>
    <x v="0"/>
  </r>
  <r>
    <n v="14887"/>
    <n v="118882328"/>
    <s v="Recovery"/>
    <n v="200"/>
    <s v="AHY"/>
    <s v="M"/>
    <n v="11"/>
    <n v="2016"/>
    <n v="2016"/>
    <n v="12"/>
    <x v="0"/>
    <s v="12B"/>
    <x v="12"/>
    <n v="1"/>
    <n v="7"/>
    <x v="0"/>
    <x v="0"/>
  </r>
  <r>
    <n v="14888"/>
    <n v="118882329"/>
    <s v="Recovery"/>
    <n v="200"/>
    <s v="AHY"/>
    <s v="M"/>
    <n v="1"/>
    <n v="2017"/>
    <n v="2016"/>
    <n v="12"/>
    <x v="0"/>
    <s v="12B"/>
    <x v="12"/>
    <n v="1"/>
    <n v="7"/>
    <x v="0"/>
    <x v="0"/>
  </r>
  <r>
    <n v="14894"/>
    <n v="118882335"/>
    <s v="Recovery"/>
    <n v="200"/>
    <s v="AHY"/>
    <s v="F"/>
    <n v="1"/>
    <n v="2019"/>
    <n v="2018"/>
    <n v="14"/>
    <x v="0"/>
    <s v="14B"/>
    <x v="10"/>
    <n v="1"/>
    <n v="7"/>
    <x v="0"/>
    <x v="0"/>
  </r>
  <r>
    <n v="14896"/>
    <n v="118882337"/>
    <s v="Recovery"/>
    <n v="200"/>
    <s v="AHY"/>
    <s v="M"/>
    <n v="12"/>
    <n v="2016"/>
    <n v="2016"/>
    <n v="12"/>
    <x v="0"/>
    <s v="12B"/>
    <x v="12"/>
    <n v="1"/>
    <n v="7"/>
    <x v="0"/>
    <x v="0"/>
  </r>
  <r>
    <n v="14907"/>
    <n v="118882348"/>
    <s v="Recovery"/>
    <n v="200"/>
    <s v="AHY"/>
    <s v="M"/>
    <n v="12"/>
    <n v="2019"/>
    <n v="2019"/>
    <n v="15"/>
    <x v="0"/>
    <s v="15B"/>
    <x v="11"/>
    <n v="1"/>
    <n v="7"/>
    <x v="0"/>
    <x v="0"/>
  </r>
  <r>
    <n v="14915"/>
    <n v="118882356"/>
    <s v="Recovery"/>
    <n v="200"/>
    <s v="AHY"/>
    <s v="F"/>
    <n v="1"/>
    <n v="2018"/>
    <n v="2017"/>
    <n v="13"/>
    <x v="0"/>
    <s v="13B"/>
    <x v="13"/>
    <n v="1"/>
    <n v="7"/>
    <x v="0"/>
    <x v="0"/>
  </r>
  <r>
    <n v="14916"/>
    <n v="118882357"/>
    <s v="Recovery"/>
    <n v="200"/>
    <s v="AHY"/>
    <s v="M"/>
    <n v="9"/>
    <n v="2019"/>
    <n v="2019"/>
    <n v="15"/>
    <x v="0"/>
    <s v="15B"/>
    <x v="11"/>
    <n v="1"/>
    <n v="7"/>
    <x v="0"/>
    <x v="0"/>
  </r>
  <r>
    <n v="14919"/>
    <n v="118882360"/>
    <s v="Recovery"/>
    <n v="200"/>
    <s v="AHY"/>
    <s v="F"/>
    <n v="12"/>
    <n v="2016"/>
    <n v="2016"/>
    <n v="12"/>
    <x v="0"/>
    <s v="12B"/>
    <x v="12"/>
    <n v="1"/>
    <n v="7"/>
    <x v="0"/>
    <x v="0"/>
  </r>
  <r>
    <n v="14927"/>
    <n v="118882368"/>
    <s v="Recovery"/>
    <n v="200"/>
    <s v="AHY"/>
    <s v="F"/>
    <n v="9"/>
    <n v="2018"/>
    <n v="2018"/>
    <n v="14"/>
    <x v="0"/>
    <s v="14B"/>
    <x v="10"/>
    <n v="1"/>
    <n v="7"/>
    <x v="0"/>
    <x v="0"/>
  </r>
  <r>
    <n v="14933"/>
    <n v="118882374"/>
    <s v="Recovery"/>
    <n v="200"/>
    <s v="AHY"/>
    <s v="F"/>
    <n v="1"/>
    <n v="2017"/>
    <n v="2016"/>
    <n v="12"/>
    <x v="0"/>
    <s v="12B"/>
    <x v="12"/>
    <n v="1"/>
    <n v="7"/>
    <x v="0"/>
    <x v="0"/>
  </r>
  <r>
    <n v="14936"/>
    <n v="118882377"/>
    <s v="Recovery"/>
    <n v="200"/>
    <s v="AHY"/>
    <s v="F"/>
    <n v="9"/>
    <n v="2018"/>
    <n v="2018"/>
    <n v="14"/>
    <x v="0"/>
    <s v="14B"/>
    <x v="10"/>
    <n v="1"/>
    <n v="7"/>
    <x v="0"/>
    <x v="0"/>
  </r>
  <r>
    <n v="14947"/>
    <n v="118882388"/>
    <s v="Recovery"/>
    <n v="200"/>
    <s v="AHY"/>
    <s v="F"/>
    <n v="9"/>
    <n v="2018"/>
    <n v="2018"/>
    <n v="14"/>
    <x v="0"/>
    <s v="14B"/>
    <x v="10"/>
    <n v="1"/>
    <n v="7"/>
    <x v="0"/>
    <x v="0"/>
  </r>
  <r>
    <n v="14955"/>
    <n v="118882396"/>
    <s v="Recovery"/>
    <n v="200"/>
    <s v="AHY"/>
    <s v="M"/>
    <n v="12"/>
    <n v="2017"/>
    <n v="2017"/>
    <n v="13"/>
    <x v="0"/>
    <s v="13B"/>
    <x v="13"/>
    <n v="1"/>
    <n v="7"/>
    <x v="0"/>
    <x v="0"/>
  </r>
  <r>
    <n v="14958"/>
    <n v="118882399"/>
    <s v="Recovery"/>
    <n v="200"/>
    <s v="AHY"/>
    <s v="M"/>
    <n v="1"/>
    <n v="2019"/>
    <n v="2018"/>
    <n v="14"/>
    <x v="0"/>
    <s v="14B"/>
    <x v="10"/>
    <n v="1"/>
    <n v="7"/>
    <x v="0"/>
    <x v="0"/>
  </r>
  <r>
    <n v="14961"/>
    <n v="118882402"/>
    <s v="Recovery"/>
    <n v="200"/>
    <s v="AHY"/>
    <s v="F"/>
    <n v="9"/>
    <n v="2019"/>
    <n v="2019"/>
    <n v="15"/>
    <x v="0"/>
    <s v="15B"/>
    <x v="11"/>
    <n v="1"/>
    <n v="7"/>
    <x v="0"/>
    <x v="0"/>
  </r>
  <r>
    <n v="14967"/>
    <n v="118882408"/>
    <s v="Recovery"/>
    <n v="200"/>
    <s v="AHY"/>
    <s v="F"/>
    <n v="12"/>
    <n v="2020"/>
    <n v="2020"/>
    <n v="16"/>
    <x v="0"/>
    <s v="16B"/>
    <x v="15"/>
    <n v="1"/>
    <n v="7"/>
    <x v="0"/>
    <x v="0"/>
  </r>
  <r>
    <n v="14972"/>
    <n v="118882413"/>
    <s v="Recovery"/>
    <n v="200"/>
    <s v="AHY"/>
    <s v="M"/>
    <n v="9"/>
    <n v="2016"/>
    <n v="2016"/>
    <n v="12"/>
    <x v="0"/>
    <s v="12B"/>
    <x v="12"/>
    <n v="1"/>
    <n v="7"/>
    <x v="0"/>
    <x v="0"/>
  </r>
  <r>
    <n v="14978"/>
    <n v="118882419"/>
    <s v="Recovery"/>
    <n v="200"/>
    <s v="AHY"/>
    <s v="F"/>
    <n v="1"/>
    <n v="2017"/>
    <n v="2016"/>
    <n v="12"/>
    <x v="0"/>
    <s v="12B"/>
    <x v="12"/>
    <n v="1"/>
    <n v="7"/>
    <x v="0"/>
    <x v="0"/>
  </r>
  <r>
    <n v="14980"/>
    <n v="118882421"/>
    <s v="Recovery"/>
    <n v="200"/>
    <s v="AHY"/>
    <s v="M"/>
    <n v="1"/>
    <n v="2018"/>
    <n v="2017"/>
    <n v="13"/>
    <x v="0"/>
    <s v="13B"/>
    <x v="13"/>
    <n v="1"/>
    <n v="7"/>
    <x v="0"/>
    <x v="0"/>
  </r>
  <r>
    <n v="14985"/>
    <n v="118882426"/>
    <s v="Recovery"/>
    <n v="200"/>
    <s v="AHY"/>
    <s v="F"/>
    <n v="9"/>
    <n v="2018"/>
    <n v="2018"/>
    <n v="14"/>
    <x v="0"/>
    <s v="14B"/>
    <x v="10"/>
    <n v="1"/>
    <n v="7"/>
    <x v="0"/>
    <x v="0"/>
  </r>
  <r>
    <n v="14986"/>
    <n v="118882427"/>
    <s v="Recovery"/>
    <n v="200"/>
    <s v="AHY"/>
    <s v="F"/>
    <n v="9"/>
    <n v="2017"/>
    <n v="2017"/>
    <n v="13"/>
    <x v="0"/>
    <s v="13B"/>
    <x v="13"/>
    <n v="1"/>
    <n v="7"/>
    <x v="0"/>
    <x v="0"/>
  </r>
  <r>
    <n v="14988"/>
    <n v="118882429"/>
    <s v="Recovery"/>
    <n v="200"/>
    <s v="AHY"/>
    <s v="M"/>
    <n v="12"/>
    <n v="2017"/>
    <n v="2017"/>
    <n v="13"/>
    <x v="0"/>
    <s v="13B"/>
    <x v="13"/>
    <n v="1"/>
    <n v="7"/>
    <x v="0"/>
    <x v="0"/>
  </r>
  <r>
    <n v="14991"/>
    <n v="118882432"/>
    <s v="Recovery"/>
    <n v="200"/>
    <s v="AHY"/>
    <s v="F"/>
    <n v="9"/>
    <n v="2018"/>
    <n v="2018"/>
    <n v="14"/>
    <x v="0"/>
    <s v="14B"/>
    <x v="10"/>
    <n v="1"/>
    <n v="7"/>
    <x v="0"/>
    <x v="0"/>
  </r>
  <r>
    <n v="14992"/>
    <n v="118882433"/>
    <s v="Recovery"/>
    <n v="200"/>
    <s v="AHY"/>
    <s v="M"/>
    <n v="9"/>
    <n v="2016"/>
    <n v="2016"/>
    <n v="12"/>
    <x v="0"/>
    <s v="12B"/>
    <x v="12"/>
    <n v="1"/>
    <n v="7"/>
    <x v="0"/>
    <x v="0"/>
  </r>
  <r>
    <n v="14997"/>
    <n v="118882438"/>
    <s v="Recovery"/>
    <n v="200"/>
    <s v="AHY"/>
    <s v="F"/>
    <n v="9"/>
    <n v="2017"/>
    <n v="2017"/>
    <n v="13"/>
    <x v="0"/>
    <s v="13B"/>
    <x v="13"/>
    <n v="1"/>
    <n v="7"/>
    <x v="0"/>
    <x v="0"/>
  </r>
  <r>
    <n v="14999"/>
    <n v="118882440"/>
    <s v="Recovery"/>
    <n v="200"/>
    <s v="AHY"/>
    <s v="M"/>
    <n v="1"/>
    <n v="2020"/>
    <n v="2019"/>
    <n v="15"/>
    <x v="0"/>
    <s v="15B"/>
    <x v="11"/>
    <n v="1"/>
    <n v="42"/>
    <x v="22"/>
    <x v="1"/>
  </r>
  <r>
    <n v="15004"/>
    <n v="118882445"/>
    <s v="Recovery"/>
    <n v="200"/>
    <s v="AHY"/>
    <s v="M"/>
    <n v="9"/>
    <n v="2017"/>
    <n v="2017"/>
    <n v="13"/>
    <x v="0"/>
    <s v="13B"/>
    <x v="13"/>
    <n v="1"/>
    <n v="7"/>
    <x v="0"/>
    <x v="0"/>
  </r>
  <r>
    <n v="15005"/>
    <n v="118882446"/>
    <s v="Recovery"/>
    <n v="200"/>
    <s v="AHY"/>
    <s v="F"/>
    <n v="1"/>
    <n v="2021"/>
    <n v="2020"/>
    <n v="16"/>
    <x v="0"/>
    <s v="16B"/>
    <x v="15"/>
    <n v="1"/>
    <n v="82"/>
    <x v="15"/>
    <x v="1"/>
  </r>
  <r>
    <n v="15006"/>
    <n v="118882447"/>
    <s v="Recovery"/>
    <n v="200"/>
    <s v="AHY"/>
    <s v="F"/>
    <n v="1"/>
    <n v="2018"/>
    <n v="2017"/>
    <n v="13"/>
    <x v="0"/>
    <s v="13B"/>
    <x v="13"/>
    <n v="1"/>
    <n v="51"/>
    <x v="21"/>
    <x v="1"/>
  </r>
  <r>
    <n v="15008"/>
    <n v="118882449"/>
    <s v="Recovery"/>
    <n v="200"/>
    <s v="AHY"/>
    <s v="M"/>
    <n v="12"/>
    <n v="2018"/>
    <n v="2018"/>
    <n v="14"/>
    <x v="0"/>
    <s v="14B"/>
    <x v="10"/>
    <n v="1"/>
    <n v="82"/>
    <x v="15"/>
    <x v="1"/>
  </r>
  <r>
    <n v="15010"/>
    <n v="118882451"/>
    <s v="Recovery"/>
    <n v="200"/>
    <s v="AHY"/>
    <s v="F"/>
    <n v="9"/>
    <n v="2019"/>
    <n v="2019"/>
    <n v="15"/>
    <x v="0"/>
    <s v="15B"/>
    <x v="11"/>
    <n v="1"/>
    <n v="7"/>
    <x v="0"/>
    <x v="0"/>
  </r>
  <r>
    <n v="15017"/>
    <n v="118882458"/>
    <s v="Recovery"/>
    <n v="200"/>
    <s v="AHY"/>
    <s v="F"/>
    <n v="9"/>
    <n v="2017"/>
    <n v="2017"/>
    <n v="13"/>
    <x v="0"/>
    <s v="13B"/>
    <x v="13"/>
    <n v="1"/>
    <n v="50"/>
    <x v="3"/>
    <x v="1"/>
  </r>
  <r>
    <n v="15019"/>
    <n v="118882460"/>
    <s v="Recovery"/>
    <n v="200"/>
    <s v="AHY"/>
    <s v="F"/>
    <n v="1"/>
    <n v="2018"/>
    <n v="2017"/>
    <n v="13"/>
    <x v="0"/>
    <s v="13B"/>
    <x v="13"/>
    <n v="1"/>
    <n v="82"/>
    <x v="15"/>
    <x v="1"/>
  </r>
  <r>
    <n v="15022"/>
    <n v="118882463"/>
    <s v="Recovery"/>
    <n v="200"/>
    <s v="AHY"/>
    <s v="M"/>
    <n v="9"/>
    <n v="2018"/>
    <n v="2018"/>
    <n v="14"/>
    <x v="0"/>
    <s v="14B"/>
    <x v="10"/>
    <n v="1"/>
    <n v="82"/>
    <x v="15"/>
    <x v="1"/>
  </r>
  <r>
    <n v="15028"/>
    <n v="118882469"/>
    <s v="Recovery"/>
    <n v="200"/>
    <s v="AHY"/>
    <s v="F"/>
    <n v="1"/>
    <n v="2018"/>
    <n v="2017"/>
    <n v="13"/>
    <x v="0"/>
    <s v="13B"/>
    <x v="13"/>
    <n v="1"/>
    <n v="39"/>
    <x v="19"/>
    <x v="1"/>
  </r>
  <r>
    <n v="15035"/>
    <n v="118882476"/>
    <s v="Recovery"/>
    <n v="200"/>
    <s v="AHY"/>
    <s v="M"/>
    <n v="1"/>
    <n v="2017"/>
    <n v="2016"/>
    <n v="12"/>
    <x v="0"/>
    <s v="12B"/>
    <x v="12"/>
    <n v="1"/>
    <n v="82"/>
    <x v="15"/>
    <x v="1"/>
  </r>
  <r>
    <n v="15036"/>
    <n v="118882477"/>
    <s v="Recovery"/>
    <n v="200"/>
    <s v="AHY"/>
    <s v="F"/>
    <n v="1"/>
    <n v="2018"/>
    <n v="2017"/>
    <n v="13"/>
    <x v="0"/>
    <s v="13B"/>
    <x v="13"/>
    <n v="1"/>
    <n v="82"/>
    <x v="15"/>
    <x v="1"/>
  </r>
  <r>
    <n v="15044"/>
    <n v="118882485"/>
    <s v="Recovery"/>
    <n v="200"/>
    <s v="AHY"/>
    <s v="F"/>
    <n v="2"/>
    <n v="2021"/>
    <n v="2020"/>
    <n v="16"/>
    <x v="0"/>
    <s v="16B"/>
    <x v="15"/>
    <n v="1"/>
    <n v="82"/>
    <x v="15"/>
    <x v="1"/>
  </r>
  <r>
    <n v="15046"/>
    <n v="118882487"/>
    <s v="Recovery"/>
    <n v="200"/>
    <s v="AHY"/>
    <s v="M"/>
    <n v="1"/>
    <n v="2018"/>
    <n v="2017"/>
    <n v="13"/>
    <x v="0"/>
    <s v="13B"/>
    <x v="13"/>
    <n v="1"/>
    <n v="7"/>
    <x v="0"/>
    <x v="0"/>
  </r>
  <r>
    <n v="15054"/>
    <n v="118882495"/>
    <s v="Recovery"/>
    <n v="200"/>
    <s v="AHY"/>
    <s v="F"/>
    <n v="12"/>
    <n v="2016"/>
    <n v="2016"/>
    <n v="12"/>
    <x v="0"/>
    <s v="12B"/>
    <x v="12"/>
    <n v="1"/>
    <n v="82"/>
    <x v="15"/>
    <x v="1"/>
  </r>
  <r>
    <n v="15055"/>
    <n v="118882496"/>
    <s v="Recovery"/>
    <n v="200"/>
    <s v="AHY"/>
    <s v="F"/>
    <n v="9"/>
    <n v="2018"/>
    <n v="2018"/>
    <n v="14"/>
    <x v="0"/>
    <s v="14B"/>
    <x v="10"/>
    <n v="1"/>
    <n v="45"/>
    <x v="1"/>
    <x v="1"/>
  </r>
  <r>
    <n v="15059"/>
    <n v="118882500"/>
    <s v="Recovery"/>
    <n v="200"/>
    <s v="AHY"/>
    <s v="M"/>
    <n v="9"/>
    <n v="2016"/>
    <n v="2016"/>
    <n v="12"/>
    <x v="0"/>
    <s v="12B"/>
    <x v="12"/>
    <n v="1"/>
    <n v="82"/>
    <x v="15"/>
    <x v="1"/>
  </r>
  <r>
    <n v="15063"/>
    <n v="118882504"/>
    <s v="Recovery"/>
    <n v="200"/>
    <s v="AHY"/>
    <s v="M"/>
    <n v="12"/>
    <n v="2016"/>
    <n v="2016"/>
    <n v="12"/>
    <x v="0"/>
    <s v="12B"/>
    <x v="12"/>
    <n v="1"/>
    <n v="7"/>
    <x v="0"/>
    <x v="0"/>
  </r>
  <r>
    <n v="15064"/>
    <n v="118882505"/>
    <s v="Recovery"/>
    <n v="200"/>
    <s v="AHY"/>
    <s v="F"/>
    <n v="12"/>
    <n v="2019"/>
    <n v="2019"/>
    <n v="15"/>
    <x v="0"/>
    <s v="15B"/>
    <x v="11"/>
    <n v="1"/>
    <n v="7"/>
    <x v="0"/>
    <x v="0"/>
  </r>
  <r>
    <n v="15066"/>
    <n v="118882507"/>
    <s v="Recovery"/>
    <n v="200"/>
    <s v="AHY"/>
    <s v="F"/>
    <n v="12"/>
    <n v="2019"/>
    <n v="2019"/>
    <n v="15"/>
    <x v="0"/>
    <s v="15B"/>
    <x v="11"/>
    <n v="1"/>
    <n v="82"/>
    <x v="15"/>
    <x v="1"/>
  </r>
  <r>
    <n v="15067"/>
    <n v="118882508"/>
    <s v="Recovery"/>
    <n v="200"/>
    <s v="AHY"/>
    <s v="F"/>
    <n v="9"/>
    <n v="2020"/>
    <n v="2020"/>
    <n v="16"/>
    <x v="0"/>
    <s v="16B"/>
    <x v="15"/>
    <n v="1"/>
    <n v="82"/>
    <x v="15"/>
    <x v="1"/>
  </r>
  <r>
    <n v="15068"/>
    <n v="118882509"/>
    <s v="Recovery"/>
    <n v="200"/>
    <s v="AHY"/>
    <s v="M"/>
    <n v="12"/>
    <n v="2019"/>
    <n v="2019"/>
    <n v="15"/>
    <x v="0"/>
    <s v="15B"/>
    <x v="11"/>
    <n v="1"/>
    <n v="82"/>
    <x v="15"/>
    <x v="1"/>
  </r>
  <r>
    <n v="15070"/>
    <n v="118882511"/>
    <s v="Recovery"/>
    <n v="200"/>
    <s v="AHY"/>
    <s v="M"/>
    <n v="1"/>
    <n v="2017"/>
    <n v="2016"/>
    <n v="12"/>
    <x v="0"/>
    <s v="12B"/>
    <x v="12"/>
    <n v="1"/>
    <n v="82"/>
    <x v="15"/>
    <x v="1"/>
  </r>
  <r>
    <n v="15078"/>
    <n v="118882519"/>
    <s v="Recovery"/>
    <n v="200"/>
    <s v="AHY"/>
    <s v="F"/>
    <n v="9"/>
    <n v="2020"/>
    <n v="2020"/>
    <n v="16"/>
    <x v="0"/>
    <s v="16B"/>
    <x v="15"/>
    <n v="1"/>
    <n v="82"/>
    <x v="15"/>
    <x v="1"/>
  </r>
  <r>
    <n v="15079"/>
    <n v="118882520"/>
    <s v="Recovery"/>
    <n v="200"/>
    <s v="AHY"/>
    <s v="M"/>
    <n v="9"/>
    <n v="2016"/>
    <n v="2016"/>
    <n v="12"/>
    <x v="0"/>
    <s v="12B"/>
    <x v="12"/>
    <n v="1"/>
    <n v="82"/>
    <x v="15"/>
    <x v="1"/>
  </r>
  <r>
    <n v="15083"/>
    <n v="118882524"/>
    <s v="Recovery"/>
    <n v="200"/>
    <s v="AHY"/>
    <s v="M"/>
    <n v="1"/>
    <n v="2021"/>
    <n v="2020"/>
    <n v="16"/>
    <x v="0"/>
    <s v="16B"/>
    <x v="15"/>
    <n v="1"/>
    <n v="82"/>
    <x v="15"/>
    <x v="1"/>
  </r>
  <r>
    <n v="15089"/>
    <n v="118882530"/>
    <s v="Recovery"/>
    <n v="200"/>
    <s v="AHY"/>
    <s v="M"/>
    <n v="1"/>
    <n v="2021"/>
    <n v="2020"/>
    <n v="16"/>
    <x v="0"/>
    <s v="16B"/>
    <x v="15"/>
    <n v="1"/>
    <n v="82"/>
    <x v="15"/>
    <x v="1"/>
  </r>
  <r>
    <n v="15093"/>
    <n v="118882534"/>
    <s v="Recovery"/>
    <n v="200"/>
    <s v="AHY"/>
    <s v="M"/>
    <n v="1"/>
    <n v="2019"/>
    <n v="2018"/>
    <n v="14"/>
    <x v="0"/>
    <s v="14B"/>
    <x v="10"/>
    <n v="1"/>
    <n v="82"/>
    <x v="15"/>
    <x v="1"/>
  </r>
  <r>
    <n v="15094"/>
    <n v="118882535"/>
    <s v="Recovery"/>
    <n v="200"/>
    <s v="AHY"/>
    <s v="M"/>
    <n v="12"/>
    <n v="2016"/>
    <n v="2016"/>
    <n v="12"/>
    <x v="0"/>
    <s v="12B"/>
    <x v="12"/>
    <n v="1"/>
    <n v="82"/>
    <x v="15"/>
    <x v="1"/>
  </r>
  <r>
    <n v="15106"/>
    <n v="118882547"/>
    <s v="Recovery"/>
    <n v="200"/>
    <s v="AHY"/>
    <s v="F"/>
    <n v="1"/>
    <n v="2018"/>
    <n v="2017"/>
    <n v="13"/>
    <x v="0"/>
    <s v="13B"/>
    <x v="13"/>
    <n v="1"/>
    <n v="82"/>
    <x v="15"/>
    <x v="1"/>
  </r>
  <r>
    <n v="15109"/>
    <n v="118882550"/>
    <s v="Recovery"/>
    <n v="200"/>
    <s v="AHY"/>
    <s v="F"/>
    <n v="9"/>
    <n v="2018"/>
    <n v="2018"/>
    <n v="14"/>
    <x v="0"/>
    <s v="14B"/>
    <x v="10"/>
    <n v="1"/>
    <n v="82"/>
    <x v="15"/>
    <x v="1"/>
  </r>
  <r>
    <n v="15111"/>
    <n v="118882552"/>
    <s v="Recovery"/>
    <n v="200"/>
    <s v="AHY"/>
    <s v="M"/>
    <n v="9"/>
    <n v="2019"/>
    <n v="2019"/>
    <n v="15"/>
    <x v="0"/>
    <s v="15B"/>
    <x v="11"/>
    <n v="1"/>
    <n v="7"/>
    <x v="0"/>
    <x v="0"/>
  </r>
  <r>
    <n v="15118"/>
    <n v="118882559"/>
    <s v="Recovery"/>
    <n v="200"/>
    <s v="AHY"/>
    <s v="M"/>
    <n v="1"/>
    <n v="2017"/>
    <n v="2016"/>
    <n v="12"/>
    <x v="0"/>
    <s v="12B"/>
    <x v="12"/>
    <n v="1"/>
    <n v="82"/>
    <x v="15"/>
    <x v="1"/>
  </r>
  <r>
    <n v="15120"/>
    <n v="118882561"/>
    <s v="Recovery"/>
    <n v="200"/>
    <s v="AHY"/>
    <s v="F"/>
    <n v="11"/>
    <n v="2017"/>
    <n v="2017"/>
    <n v="13"/>
    <x v="0"/>
    <s v="13B"/>
    <x v="13"/>
    <n v="1"/>
    <n v="91"/>
    <x v="5"/>
    <x v="1"/>
  </r>
  <r>
    <n v="15122"/>
    <n v="118882563"/>
    <s v="Recovery"/>
    <n v="200"/>
    <s v="AHY"/>
    <s v="M"/>
    <n v="9"/>
    <n v="2016"/>
    <n v="2016"/>
    <n v="12"/>
    <x v="0"/>
    <s v="12B"/>
    <x v="12"/>
    <n v="1"/>
    <n v="82"/>
    <x v="15"/>
    <x v="1"/>
  </r>
  <r>
    <n v="15128"/>
    <n v="118882569"/>
    <s v="Recovery"/>
    <n v="200"/>
    <s v="AHY"/>
    <s v="F"/>
    <n v="9"/>
    <n v="2018"/>
    <n v="2018"/>
    <n v="14"/>
    <x v="0"/>
    <s v="14B"/>
    <x v="10"/>
    <n v="1"/>
    <n v="82"/>
    <x v="15"/>
    <x v="1"/>
  </r>
  <r>
    <n v="15132"/>
    <n v="118882573"/>
    <s v="Recovery"/>
    <n v="200"/>
    <s v="AHY"/>
    <s v="M"/>
    <n v="1"/>
    <n v="2018"/>
    <n v="2017"/>
    <n v="13"/>
    <x v="0"/>
    <s v="13B"/>
    <x v="13"/>
    <n v="1"/>
    <n v="82"/>
    <x v="15"/>
    <x v="1"/>
  </r>
  <r>
    <n v="15136"/>
    <n v="118882577"/>
    <s v="Recovery"/>
    <n v="200"/>
    <s v="AHY"/>
    <s v="F"/>
    <n v="2"/>
    <n v="2021"/>
    <n v="2020"/>
    <n v="16"/>
    <x v="0"/>
    <s v="16B"/>
    <x v="15"/>
    <n v="1"/>
    <n v="82"/>
    <x v="15"/>
    <x v="1"/>
  </r>
  <r>
    <n v="15137"/>
    <n v="118882578"/>
    <s v="Recovery"/>
    <n v="200"/>
    <s v="AHY"/>
    <s v="F"/>
    <n v="9"/>
    <n v="2016"/>
    <n v="2016"/>
    <n v="12"/>
    <x v="0"/>
    <s v="12B"/>
    <x v="12"/>
    <n v="1"/>
    <n v="82"/>
    <x v="15"/>
    <x v="1"/>
  </r>
  <r>
    <n v="15138"/>
    <n v="118882579"/>
    <s v="Recovery"/>
    <n v="200"/>
    <s v="AHY"/>
    <s v="F"/>
    <n v="12"/>
    <n v="2017"/>
    <n v="2017"/>
    <n v="13"/>
    <x v="0"/>
    <s v="13B"/>
    <x v="13"/>
    <n v="1"/>
    <n v="82"/>
    <x v="15"/>
    <x v="1"/>
  </r>
  <r>
    <n v="15141"/>
    <n v="118882582"/>
    <s v="Recovery"/>
    <n v="200"/>
    <s v="AHY"/>
    <s v="M"/>
    <n v="1"/>
    <n v="2018"/>
    <n v="2017"/>
    <n v="13"/>
    <x v="0"/>
    <s v="13B"/>
    <x v="13"/>
    <n v="1"/>
    <n v="7"/>
    <x v="0"/>
    <x v="0"/>
  </r>
  <r>
    <n v="15147"/>
    <n v="118882588"/>
    <s v="Recovery"/>
    <n v="200"/>
    <s v="AHY"/>
    <s v="F"/>
    <n v="12"/>
    <n v="2018"/>
    <n v="2018"/>
    <n v="14"/>
    <x v="0"/>
    <s v="14B"/>
    <x v="10"/>
    <n v="1"/>
    <n v="82"/>
    <x v="15"/>
    <x v="1"/>
  </r>
  <r>
    <n v="15150"/>
    <n v="118882591"/>
    <s v="Recovery"/>
    <n v="200"/>
    <s v="AHY"/>
    <s v="F"/>
    <n v="9"/>
    <n v="2019"/>
    <n v="2019"/>
    <n v="15"/>
    <x v="0"/>
    <s v="15B"/>
    <x v="11"/>
    <n v="1"/>
    <n v="36"/>
    <x v="12"/>
    <x v="1"/>
  </r>
  <r>
    <n v="15152"/>
    <n v="118882593"/>
    <s v="Recovery"/>
    <n v="200"/>
    <s v="AHY"/>
    <s v="F"/>
    <n v="10"/>
    <n v="2019"/>
    <n v="2019"/>
    <n v="15"/>
    <x v="0"/>
    <s v="15B"/>
    <x v="11"/>
    <n v="1"/>
    <n v="82"/>
    <x v="15"/>
    <x v="1"/>
  </r>
  <r>
    <n v="15153"/>
    <n v="118882594"/>
    <s v="Recovery"/>
    <n v="200"/>
    <s v="AHY"/>
    <s v="M"/>
    <n v="9"/>
    <n v="2019"/>
    <n v="2019"/>
    <n v="15"/>
    <x v="0"/>
    <s v="15B"/>
    <x v="11"/>
    <n v="1"/>
    <n v="7"/>
    <x v="0"/>
    <x v="0"/>
  </r>
  <r>
    <n v="15155"/>
    <n v="118882596"/>
    <s v="Recovery"/>
    <n v="200"/>
    <s v="AHY"/>
    <s v="F"/>
    <n v="9"/>
    <n v="2018"/>
    <n v="2018"/>
    <n v="14"/>
    <x v="0"/>
    <s v="14B"/>
    <x v="10"/>
    <n v="1"/>
    <n v="82"/>
    <x v="15"/>
    <x v="1"/>
  </r>
  <r>
    <n v="15158"/>
    <n v="118882599"/>
    <s v="Recovery"/>
    <n v="200"/>
    <s v="AHY"/>
    <s v="M"/>
    <n v="9"/>
    <n v="2016"/>
    <n v="2016"/>
    <n v="12"/>
    <x v="0"/>
    <s v="12B"/>
    <x v="12"/>
    <n v="1"/>
    <n v="82"/>
    <x v="15"/>
    <x v="1"/>
  </r>
  <r>
    <n v="15165"/>
    <n v="118882606"/>
    <s v="Recovery"/>
    <n v="200"/>
    <s v="AHY"/>
    <s v="M"/>
    <n v="1"/>
    <n v="2017"/>
    <n v="2016"/>
    <n v="12"/>
    <x v="0"/>
    <s v="12B"/>
    <x v="12"/>
    <n v="1"/>
    <n v="82"/>
    <x v="15"/>
    <x v="1"/>
  </r>
  <r>
    <n v="15166"/>
    <n v="118882607"/>
    <s v="Recovery"/>
    <n v="200"/>
    <s v="AHY"/>
    <s v="M"/>
    <n v="1"/>
    <n v="2017"/>
    <n v="2016"/>
    <n v="12"/>
    <x v="0"/>
    <s v="12B"/>
    <x v="12"/>
    <n v="1"/>
    <n v="39"/>
    <x v="19"/>
    <x v="1"/>
  </r>
  <r>
    <n v="15167"/>
    <n v="118882608"/>
    <s v="Recovery"/>
    <n v="200"/>
    <s v="AHY"/>
    <s v="F"/>
    <n v="2"/>
    <n v="2021"/>
    <n v="2020"/>
    <n v="16"/>
    <x v="0"/>
    <s v="16B"/>
    <x v="15"/>
    <n v="1"/>
    <n v="82"/>
    <x v="15"/>
    <x v="1"/>
  </r>
  <r>
    <n v="15169"/>
    <n v="118882610"/>
    <s v="Recovery"/>
    <n v="200"/>
    <s v="AHY"/>
    <s v="M"/>
    <n v="1"/>
    <n v="2017"/>
    <n v="2016"/>
    <n v="12"/>
    <x v="0"/>
    <s v="12B"/>
    <x v="12"/>
    <n v="1"/>
    <n v="39"/>
    <x v="19"/>
    <x v="1"/>
  </r>
  <r>
    <n v="15171"/>
    <n v="118882612"/>
    <s v="Recovery"/>
    <n v="200"/>
    <s v="AHY"/>
    <s v="F"/>
    <n v="12"/>
    <n v="2017"/>
    <n v="2017"/>
    <n v="13"/>
    <x v="0"/>
    <s v="13B"/>
    <x v="13"/>
    <n v="1"/>
    <n v="82"/>
    <x v="15"/>
    <x v="1"/>
  </r>
  <r>
    <n v="15172"/>
    <n v="118882613"/>
    <s v="Recovery"/>
    <n v="200"/>
    <s v="AHY"/>
    <s v="F"/>
    <n v="1"/>
    <n v="2017"/>
    <n v="2016"/>
    <n v="12"/>
    <x v="0"/>
    <s v="12B"/>
    <x v="12"/>
    <n v="1"/>
    <n v="39"/>
    <x v="19"/>
    <x v="1"/>
  </r>
  <r>
    <n v="15178"/>
    <n v="118882619"/>
    <s v="Recovery"/>
    <n v="200"/>
    <s v="AHY"/>
    <s v="F"/>
    <n v="9"/>
    <n v="2020"/>
    <n v="2020"/>
    <n v="16"/>
    <x v="0"/>
    <s v="16B"/>
    <x v="15"/>
    <n v="1"/>
    <n v="82"/>
    <x v="15"/>
    <x v="1"/>
  </r>
  <r>
    <n v="15195"/>
    <n v="118882636"/>
    <s v="Recovery"/>
    <n v="200"/>
    <s v="AHY"/>
    <s v="M"/>
    <n v="1"/>
    <n v="2017"/>
    <n v="2016"/>
    <n v="12"/>
    <x v="0"/>
    <s v="12B"/>
    <x v="12"/>
    <n v="1"/>
    <n v="82"/>
    <x v="15"/>
    <x v="1"/>
  </r>
  <r>
    <n v="15200"/>
    <n v="118882641"/>
    <s v="Recovery"/>
    <n v="200"/>
    <s v="AHY"/>
    <s v="F"/>
    <n v="12"/>
    <n v="2017"/>
    <n v="2017"/>
    <n v="13"/>
    <x v="0"/>
    <s v="13B"/>
    <x v="13"/>
    <n v="1"/>
    <n v="52"/>
    <x v="11"/>
    <x v="1"/>
  </r>
  <r>
    <n v="15201"/>
    <n v="118882642"/>
    <s v="Recovery"/>
    <n v="200"/>
    <s v="AHY"/>
    <s v="F"/>
    <n v="9"/>
    <n v="2016"/>
    <n v="2016"/>
    <n v="12"/>
    <x v="0"/>
    <s v="12B"/>
    <x v="12"/>
    <n v="1"/>
    <n v="82"/>
    <x v="15"/>
    <x v="1"/>
  </r>
  <r>
    <n v="15205"/>
    <n v="118882646"/>
    <s v="Recovery"/>
    <n v="200"/>
    <s v="AHY"/>
    <s v="F"/>
    <n v="1"/>
    <n v="2017"/>
    <n v="2016"/>
    <n v="12"/>
    <x v="0"/>
    <s v="12B"/>
    <x v="12"/>
    <n v="1"/>
    <n v="82"/>
    <x v="15"/>
    <x v="1"/>
  </r>
  <r>
    <n v="15207"/>
    <n v="118882648"/>
    <s v="Recovery"/>
    <n v="200"/>
    <s v="AHY"/>
    <s v="F"/>
    <n v="9"/>
    <n v="2018"/>
    <n v="2018"/>
    <n v="14"/>
    <x v="0"/>
    <s v="14B"/>
    <x v="10"/>
    <n v="1"/>
    <n v="82"/>
    <x v="15"/>
    <x v="1"/>
  </r>
  <r>
    <n v="15210"/>
    <n v="118882651"/>
    <s v="Recovery"/>
    <n v="200"/>
    <s v="AHY"/>
    <s v="M"/>
    <n v="9"/>
    <n v="2018"/>
    <n v="2018"/>
    <n v="14"/>
    <x v="0"/>
    <s v="14B"/>
    <x v="10"/>
    <n v="1"/>
    <n v="7"/>
    <x v="0"/>
    <x v="0"/>
  </r>
  <r>
    <n v="15218"/>
    <n v="118882659"/>
    <s v="Recovery"/>
    <n v="200"/>
    <s v="AHY"/>
    <s v="F"/>
    <n v="1"/>
    <n v="2021"/>
    <n v="2020"/>
    <n v="16"/>
    <x v="0"/>
    <s v="16B"/>
    <x v="15"/>
    <n v="1"/>
    <n v="82"/>
    <x v="15"/>
    <x v="1"/>
  </r>
  <r>
    <n v="15221"/>
    <n v="118882662"/>
    <s v="Recovery"/>
    <n v="200"/>
    <s v="AHY"/>
    <s v="M"/>
    <n v="12"/>
    <n v="2020"/>
    <n v="2020"/>
    <n v="16"/>
    <x v="0"/>
    <s v="16B"/>
    <x v="15"/>
    <n v="1"/>
    <n v="82"/>
    <x v="15"/>
    <x v="1"/>
  </r>
  <r>
    <n v="15225"/>
    <n v="118882666"/>
    <s v="Recovery"/>
    <n v="200"/>
    <s v="AHY"/>
    <s v="F"/>
    <n v="1"/>
    <n v="2018"/>
    <n v="2017"/>
    <n v="13"/>
    <x v="0"/>
    <s v="13B"/>
    <x v="13"/>
    <n v="1"/>
    <n v="82"/>
    <x v="15"/>
    <x v="1"/>
  </r>
  <r>
    <n v="15231"/>
    <n v="118882672"/>
    <s v="Recovery"/>
    <n v="200"/>
    <s v="AHY"/>
    <s v="M"/>
    <n v="12"/>
    <n v="2019"/>
    <n v="2019"/>
    <n v="15"/>
    <x v="0"/>
    <s v="15B"/>
    <x v="11"/>
    <n v="1"/>
    <n v="82"/>
    <x v="15"/>
    <x v="1"/>
  </r>
  <r>
    <n v="15232"/>
    <n v="118882673"/>
    <s v="Recovery"/>
    <n v="200"/>
    <s v="AHY"/>
    <s v="F"/>
    <n v="1"/>
    <n v="2021"/>
    <n v="2020"/>
    <n v="16"/>
    <x v="0"/>
    <s v="16B"/>
    <x v="15"/>
    <n v="1"/>
    <n v="7"/>
    <x v="0"/>
    <x v="0"/>
  </r>
  <r>
    <n v="15236"/>
    <n v="118882677"/>
    <s v="Recovery"/>
    <n v="200"/>
    <s v="AHY"/>
    <s v="M"/>
    <n v="10"/>
    <n v="2017"/>
    <n v="2017"/>
    <n v="13"/>
    <x v="0"/>
    <s v="13B"/>
    <x v="13"/>
    <n v="1"/>
    <n v="82"/>
    <x v="15"/>
    <x v="1"/>
  </r>
  <r>
    <n v="15240"/>
    <n v="118882681"/>
    <s v="Recovery"/>
    <n v="200"/>
    <s v="AHY"/>
    <s v="M"/>
    <n v="12"/>
    <n v="2017"/>
    <n v="2017"/>
    <n v="13"/>
    <x v="0"/>
    <s v="13B"/>
    <x v="13"/>
    <n v="1"/>
    <n v="82"/>
    <x v="15"/>
    <x v="1"/>
  </r>
  <r>
    <n v="15243"/>
    <n v="118882684"/>
    <s v="Recovery"/>
    <n v="200"/>
    <s v="AHY"/>
    <s v="M"/>
    <n v="9"/>
    <n v="2019"/>
    <n v="2019"/>
    <n v="15"/>
    <x v="0"/>
    <s v="15B"/>
    <x v="11"/>
    <n v="1"/>
    <n v="7"/>
    <x v="0"/>
    <x v="0"/>
  </r>
  <r>
    <n v="15250"/>
    <n v="118882691"/>
    <s v="Recovery"/>
    <n v="200"/>
    <s v="AHY"/>
    <s v="F"/>
    <n v="12"/>
    <n v="2017"/>
    <n v="2017"/>
    <n v="13"/>
    <x v="0"/>
    <s v="13B"/>
    <x v="13"/>
    <n v="1"/>
    <n v="82"/>
    <x v="15"/>
    <x v="1"/>
  </r>
  <r>
    <n v="15260"/>
    <n v="118882701"/>
    <s v="Recovery"/>
    <n v="200"/>
    <s v="AHY"/>
    <s v="M"/>
    <n v="1"/>
    <n v="2018"/>
    <n v="2017"/>
    <n v="13"/>
    <x v="0"/>
    <s v="13B"/>
    <x v="13"/>
    <n v="1"/>
    <n v="82"/>
    <x v="15"/>
    <x v="1"/>
  </r>
  <r>
    <n v="15265"/>
    <n v="118882706"/>
    <s v="Recovery"/>
    <n v="200"/>
    <s v="AHY"/>
    <s v="M"/>
    <n v="9"/>
    <n v="2019"/>
    <n v="2019"/>
    <n v="15"/>
    <x v="0"/>
    <s v="15B"/>
    <x v="11"/>
    <n v="1"/>
    <n v="7"/>
    <x v="0"/>
    <x v="0"/>
  </r>
  <r>
    <n v="15281"/>
    <n v="118882722"/>
    <s v="Recovery"/>
    <n v="200"/>
    <s v="AHY"/>
    <s v="F"/>
    <n v="1"/>
    <n v="2017"/>
    <n v="2016"/>
    <n v="12"/>
    <x v="0"/>
    <s v="12B"/>
    <x v="12"/>
    <n v="1"/>
    <n v="82"/>
    <x v="15"/>
    <x v="1"/>
  </r>
  <r>
    <n v="15285"/>
    <n v="118882726"/>
    <s v="Recovery"/>
    <n v="200"/>
    <s v="AHY"/>
    <s v="F"/>
    <n v="9"/>
    <n v="2019"/>
    <n v="2019"/>
    <n v="15"/>
    <x v="0"/>
    <s v="15B"/>
    <x v="11"/>
    <n v="1"/>
    <n v="7"/>
    <x v="0"/>
    <x v="0"/>
  </r>
  <r>
    <n v="15294"/>
    <n v="118882735"/>
    <s v="Recovery"/>
    <n v="200"/>
    <s v="AHY"/>
    <s v="M"/>
    <n v="10"/>
    <n v="2018"/>
    <n v="2018"/>
    <n v="14"/>
    <x v="0"/>
    <s v="14B"/>
    <x v="10"/>
    <n v="1"/>
    <n v="82"/>
    <x v="15"/>
    <x v="1"/>
  </r>
  <r>
    <n v="15295"/>
    <n v="118882736"/>
    <s v="Recovery"/>
    <n v="200"/>
    <s v="AHY"/>
    <s v="F"/>
    <n v="9"/>
    <n v="2019"/>
    <n v="2019"/>
    <n v="15"/>
    <x v="0"/>
    <s v="15B"/>
    <x v="11"/>
    <n v="1"/>
    <n v="7"/>
    <x v="0"/>
    <x v="0"/>
  </r>
  <r>
    <n v="15300"/>
    <n v="118882741"/>
    <s v="Recovery"/>
    <n v="200"/>
    <s v="AHY"/>
    <s v="F"/>
    <n v="12"/>
    <n v="2018"/>
    <n v="2018"/>
    <n v="14"/>
    <x v="0"/>
    <s v="14B"/>
    <x v="10"/>
    <n v="1"/>
    <n v="52"/>
    <x v="11"/>
    <x v="1"/>
  </r>
  <r>
    <n v="15302"/>
    <n v="118882743"/>
    <s v="Recovery"/>
    <n v="200"/>
    <s v="AHY"/>
    <s v="M"/>
    <n v="2"/>
    <n v="2019"/>
    <n v="2018"/>
    <n v="14"/>
    <x v="0"/>
    <s v="14B"/>
    <x v="10"/>
    <n v="1"/>
    <n v="82"/>
    <x v="15"/>
    <x v="1"/>
  </r>
  <r>
    <n v="15303"/>
    <n v="118882744"/>
    <s v="Recovery"/>
    <n v="200"/>
    <s v="AHY"/>
    <s v="F"/>
    <n v="12"/>
    <n v="2016"/>
    <n v="2016"/>
    <n v="12"/>
    <x v="0"/>
    <s v="12B"/>
    <x v="12"/>
    <n v="1"/>
    <n v="82"/>
    <x v="15"/>
    <x v="1"/>
  </r>
  <r>
    <n v="15304"/>
    <n v="118882745"/>
    <s v="Recovery"/>
    <n v="200"/>
    <s v="AHY"/>
    <s v="F"/>
    <n v="9"/>
    <n v="2018"/>
    <n v="2018"/>
    <n v="14"/>
    <x v="0"/>
    <s v="14B"/>
    <x v="10"/>
    <n v="1"/>
    <n v="7"/>
    <x v="0"/>
    <x v="0"/>
  </r>
  <r>
    <n v="15305"/>
    <n v="118882746"/>
    <s v="Recovery"/>
    <n v="200"/>
    <s v="AHY"/>
    <s v="M"/>
    <n v="9"/>
    <n v="2019"/>
    <n v="2019"/>
    <n v="15"/>
    <x v="0"/>
    <s v="15B"/>
    <x v="11"/>
    <n v="1"/>
    <n v="7"/>
    <x v="0"/>
    <x v="0"/>
  </r>
  <r>
    <n v="15306"/>
    <n v="118882747"/>
    <s v="Recovery"/>
    <n v="200"/>
    <s v="AHY"/>
    <s v="M"/>
    <n v="1"/>
    <n v="2019"/>
    <n v="2018"/>
    <n v="14"/>
    <x v="0"/>
    <s v="14B"/>
    <x v="10"/>
    <n v="1"/>
    <n v="52"/>
    <x v="11"/>
    <x v="1"/>
  </r>
  <r>
    <n v="15308"/>
    <n v="118882749"/>
    <s v="Recovery"/>
    <n v="200"/>
    <s v="AHY"/>
    <s v="M"/>
    <n v="12"/>
    <n v="2017"/>
    <n v="2017"/>
    <n v="13"/>
    <x v="0"/>
    <s v="13B"/>
    <x v="13"/>
    <n v="1"/>
    <n v="82"/>
    <x v="15"/>
    <x v="1"/>
  </r>
  <r>
    <n v="15309"/>
    <n v="118882750"/>
    <s v="Recovery"/>
    <n v="200"/>
    <s v="AHY"/>
    <s v="M"/>
    <n v="1"/>
    <n v="2021"/>
    <n v="2020"/>
    <n v="16"/>
    <x v="0"/>
    <s v="16B"/>
    <x v="15"/>
    <n v="1"/>
    <n v="7"/>
    <x v="0"/>
    <x v="0"/>
  </r>
  <r>
    <n v="15310"/>
    <n v="118882751"/>
    <s v="Recovery"/>
    <n v="200"/>
    <s v="AHY"/>
    <s v="M"/>
    <n v="12"/>
    <n v="2019"/>
    <n v="2019"/>
    <n v="15"/>
    <x v="0"/>
    <s v="15B"/>
    <x v="11"/>
    <n v="1"/>
    <n v="82"/>
    <x v="15"/>
    <x v="1"/>
  </r>
  <r>
    <n v="15312"/>
    <n v="118882753"/>
    <s v="Recovery"/>
    <n v="200"/>
    <s v="AHY"/>
    <s v="M"/>
    <n v="1"/>
    <n v="2017"/>
    <n v="2016"/>
    <n v="12"/>
    <x v="0"/>
    <s v="12B"/>
    <x v="12"/>
    <n v="1"/>
    <n v="7"/>
    <x v="0"/>
    <x v="0"/>
  </r>
  <r>
    <n v="15314"/>
    <n v="118882755"/>
    <s v="Recovery"/>
    <n v="200"/>
    <s v="AHY"/>
    <s v="F"/>
    <n v="12"/>
    <n v="2018"/>
    <n v="2018"/>
    <n v="14"/>
    <x v="0"/>
    <s v="14B"/>
    <x v="10"/>
    <n v="1"/>
    <n v="82"/>
    <x v="15"/>
    <x v="1"/>
  </r>
  <r>
    <n v="15315"/>
    <n v="118882756"/>
    <s v="Recovery"/>
    <n v="200"/>
    <s v="AHY"/>
    <s v="F"/>
    <n v="12"/>
    <n v="2017"/>
    <n v="2017"/>
    <n v="13"/>
    <x v="0"/>
    <s v="13B"/>
    <x v="13"/>
    <n v="1"/>
    <n v="52"/>
    <x v="11"/>
    <x v="1"/>
  </r>
  <r>
    <n v="15317"/>
    <n v="118882758"/>
    <s v="Recovery"/>
    <n v="200"/>
    <s v="AHY"/>
    <s v="M"/>
    <n v="12"/>
    <n v="2018"/>
    <n v="2018"/>
    <n v="14"/>
    <x v="0"/>
    <s v="14B"/>
    <x v="10"/>
    <n v="1"/>
    <n v="82"/>
    <x v="15"/>
    <x v="1"/>
  </r>
  <r>
    <n v="15319"/>
    <n v="118882760"/>
    <s v="Recovery"/>
    <n v="200"/>
    <s v="AHY"/>
    <s v="F"/>
    <n v="9"/>
    <n v="2016"/>
    <n v="2016"/>
    <n v="12"/>
    <x v="0"/>
    <s v="12B"/>
    <x v="12"/>
    <n v="1"/>
    <n v="82"/>
    <x v="15"/>
    <x v="1"/>
  </r>
  <r>
    <n v="15321"/>
    <n v="118882762"/>
    <s v="Recovery"/>
    <n v="200"/>
    <s v="AHY"/>
    <s v="M"/>
    <n v="1"/>
    <n v="2017"/>
    <n v="2016"/>
    <n v="12"/>
    <x v="0"/>
    <s v="12B"/>
    <x v="12"/>
    <n v="1"/>
    <n v="82"/>
    <x v="15"/>
    <x v="1"/>
  </r>
  <r>
    <n v="15322"/>
    <n v="118882763"/>
    <s v="Recovery"/>
    <n v="200"/>
    <s v="AHY"/>
    <s v="F"/>
    <n v="1"/>
    <n v="2017"/>
    <n v="2016"/>
    <n v="12"/>
    <x v="0"/>
    <s v="12B"/>
    <x v="12"/>
    <n v="1"/>
    <n v="7"/>
    <x v="0"/>
    <x v="0"/>
  </r>
  <r>
    <n v="15323"/>
    <n v="118882764"/>
    <s v="Recovery"/>
    <n v="200"/>
    <s v="AHY"/>
    <s v="M"/>
    <n v="10"/>
    <n v="2020"/>
    <n v="2020"/>
    <n v="16"/>
    <x v="0"/>
    <s v="16B"/>
    <x v="15"/>
    <n v="1"/>
    <n v="82"/>
    <x v="15"/>
    <x v="1"/>
  </r>
  <r>
    <n v="15324"/>
    <n v="118882765"/>
    <s v="Recovery"/>
    <n v="200"/>
    <s v="AHY"/>
    <s v="M"/>
    <n v="1"/>
    <n v="2021"/>
    <n v="2020"/>
    <n v="16"/>
    <x v="0"/>
    <s v="16B"/>
    <x v="15"/>
    <n v="1"/>
    <n v="82"/>
    <x v="15"/>
    <x v="1"/>
  </r>
  <r>
    <n v="15325"/>
    <n v="118882766"/>
    <s v="Recovery"/>
    <n v="200"/>
    <s v="AHY"/>
    <s v="M"/>
    <n v="12"/>
    <n v="2017"/>
    <n v="2017"/>
    <n v="13"/>
    <x v="0"/>
    <s v="13B"/>
    <x v="13"/>
    <n v="1"/>
    <n v="82"/>
    <x v="15"/>
    <x v="1"/>
  </r>
  <r>
    <n v="15329"/>
    <n v="118882770"/>
    <s v="Recovery"/>
    <n v="200"/>
    <s v="AHY"/>
    <s v="M"/>
    <n v="9"/>
    <n v="2018"/>
    <n v="2018"/>
    <n v="14"/>
    <x v="0"/>
    <s v="14B"/>
    <x v="10"/>
    <n v="1"/>
    <n v="7"/>
    <x v="0"/>
    <x v="0"/>
  </r>
  <r>
    <n v="15336"/>
    <n v="118882777"/>
    <s v="Recovery"/>
    <n v="200"/>
    <s v="AHY"/>
    <s v="M"/>
    <n v="9"/>
    <n v="2019"/>
    <n v="2019"/>
    <n v="15"/>
    <x v="0"/>
    <s v="15B"/>
    <x v="11"/>
    <n v="1"/>
    <n v="82"/>
    <x v="15"/>
    <x v="1"/>
  </r>
  <r>
    <n v="15338"/>
    <n v="118882779"/>
    <s v="Recovery"/>
    <n v="200"/>
    <s v="AHY"/>
    <s v="F"/>
    <n v="1"/>
    <n v="2018"/>
    <n v="2017"/>
    <n v="13"/>
    <x v="0"/>
    <s v="13B"/>
    <x v="13"/>
    <n v="1"/>
    <n v="7"/>
    <x v="0"/>
    <x v="0"/>
  </r>
  <r>
    <n v="15339"/>
    <n v="118882780"/>
    <s v="Recovery"/>
    <n v="200"/>
    <s v="AHY"/>
    <s v="F"/>
    <n v="1"/>
    <n v="2017"/>
    <n v="2016"/>
    <n v="12"/>
    <x v="0"/>
    <s v="12B"/>
    <x v="12"/>
    <n v="1"/>
    <n v="82"/>
    <x v="15"/>
    <x v="1"/>
  </r>
  <r>
    <n v="15343"/>
    <n v="118882784"/>
    <s v="Recovery"/>
    <n v="200"/>
    <s v="AHY"/>
    <s v="M"/>
    <n v="12"/>
    <n v="2017"/>
    <n v="2017"/>
    <n v="13"/>
    <x v="0"/>
    <s v="13B"/>
    <x v="13"/>
    <n v="1"/>
    <n v="82"/>
    <x v="15"/>
    <x v="1"/>
  </r>
  <r>
    <n v="15344"/>
    <n v="118882785"/>
    <s v="Recovery"/>
    <n v="200"/>
    <s v="AHY"/>
    <s v="F"/>
    <n v="1"/>
    <n v="2017"/>
    <n v="2016"/>
    <n v="12"/>
    <x v="0"/>
    <s v="12B"/>
    <x v="12"/>
    <n v="1"/>
    <n v="82"/>
    <x v="15"/>
    <x v="1"/>
  </r>
  <r>
    <n v="15357"/>
    <n v="118882907"/>
    <s v="Recovery"/>
    <n v="200"/>
    <s v="AHY"/>
    <s v="F"/>
    <n v="1"/>
    <n v="2019"/>
    <n v="2018"/>
    <n v="14"/>
    <x v="0"/>
    <s v="14B"/>
    <x v="10"/>
    <n v="1"/>
    <n v="7"/>
    <x v="0"/>
    <x v="0"/>
  </r>
  <r>
    <n v="15368"/>
    <n v="118882918"/>
    <s v="Recovery"/>
    <n v="200"/>
    <s v="AHY"/>
    <s v="M"/>
    <n v="11"/>
    <n v="2017"/>
    <n v="2017"/>
    <n v="13"/>
    <x v="0"/>
    <s v="13B"/>
    <x v="13"/>
    <n v="1"/>
    <n v="7"/>
    <x v="0"/>
    <x v="0"/>
  </r>
  <r>
    <n v="15377"/>
    <n v="118882927"/>
    <s v="Recovery"/>
    <n v="200"/>
    <s v="AHY"/>
    <s v="M"/>
    <n v="9"/>
    <n v="2017"/>
    <n v="2017"/>
    <n v="13"/>
    <x v="0"/>
    <s v="13B"/>
    <x v="13"/>
    <n v="1"/>
    <n v="7"/>
    <x v="0"/>
    <x v="0"/>
  </r>
  <r>
    <n v="15379"/>
    <n v="118882929"/>
    <s v="Recovery"/>
    <n v="200"/>
    <s v="AHY"/>
    <s v="F"/>
    <n v="1"/>
    <n v="2019"/>
    <n v="2018"/>
    <n v="14"/>
    <x v="0"/>
    <s v="14B"/>
    <x v="10"/>
    <n v="1"/>
    <n v="7"/>
    <x v="0"/>
    <x v="0"/>
  </r>
  <r>
    <n v="15383"/>
    <n v="118882933"/>
    <s v="Recovery"/>
    <n v="200"/>
    <s v="AHY"/>
    <s v="F"/>
    <n v="11"/>
    <n v="2016"/>
    <n v="2016"/>
    <n v="12"/>
    <x v="0"/>
    <s v="12B"/>
    <x v="12"/>
    <n v="1"/>
    <n v="7"/>
    <x v="0"/>
    <x v="0"/>
  </r>
  <r>
    <n v="15384"/>
    <n v="118882934"/>
    <s v="Recovery"/>
    <n v="200"/>
    <s v="AHY"/>
    <s v="M"/>
    <n v="9"/>
    <n v="2020"/>
    <n v="2020"/>
    <n v="16"/>
    <x v="0"/>
    <s v="16B"/>
    <x v="15"/>
    <n v="1"/>
    <n v="7"/>
    <x v="0"/>
    <x v="0"/>
  </r>
  <r>
    <n v="15387"/>
    <n v="118882937"/>
    <s v="Recovery"/>
    <n v="200"/>
    <s v="AHY"/>
    <s v="F"/>
    <n v="11"/>
    <n v="2016"/>
    <n v="2016"/>
    <n v="12"/>
    <x v="0"/>
    <s v="12B"/>
    <x v="12"/>
    <n v="1"/>
    <n v="7"/>
    <x v="0"/>
    <x v="0"/>
  </r>
  <r>
    <n v="15389"/>
    <n v="118882939"/>
    <s v="Recovery"/>
    <n v="200"/>
    <s v="AHY"/>
    <s v="M"/>
    <n v="9"/>
    <n v="2017"/>
    <n v="2017"/>
    <n v="13"/>
    <x v="0"/>
    <s v="13B"/>
    <x v="13"/>
    <n v="1"/>
    <n v="7"/>
    <x v="0"/>
    <x v="0"/>
  </r>
  <r>
    <n v="15390"/>
    <n v="118882940"/>
    <s v="Recovery"/>
    <n v="200"/>
    <s v="AHY"/>
    <s v="M"/>
    <n v="1"/>
    <n v="2017"/>
    <n v="2016"/>
    <n v="12"/>
    <x v="0"/>
    <s v="12B"/>
    <x v="12"/>
    <n v="1"/>
    <n v="7"/>
    <x v="0"/>
    <x v="0"/>
  </r>
  <r>
    <n v="15391"/>
    <n v="118882941"/>
    <s v="Recovery"/>
    <n v="200"/>
    <s v="AHY"/>
    <s v="F"/>
    <n v="1"/>
    <n v="2018"/>
    <n v="2017"/>
    <n v="13"/>
    <x v="0"/>
    <s v="13B"/>
    <x v="13"/>
    <n v="1"/>
    <n v="7"/>
    <x v="0"/>
    <x v="0"/>
  </r>
  <r>
    <n v="15397"/>
    <n v="118882947"/>
    <s v="Recovery"/>
    <n v="200"/>
    <s v="AHY"/>
    <s v="M"/>
    <n v="1"/>
    <n v="2017"/>
    <n v="2016"/>
    <n v="12"/>
    <x v="0"/>
    <s v="12B"/>
    <x v="12"/>
    <n v="1"/>
    <n v="7"/>
    <x v="0"/>
    <x v="0"/>
  </r>
  <r>
    <n v="15399"/>
    <n v="118882949"/>
    <s v="Recovery"/>
    <n v="200"/>
    <s v="AHY"/>
    <s v="F"/>
    <n v="12"/>
    <n v="2018"/>
    <n v="2018"/>
    <n v="14"/>
    <x v="0"/>
    <s v="14B"/>
    <x v="10"/>
    <n v="1"/>
    <n v="7"/>
    <x v="0"/>
    <x v="0"/>
  </r>
  <r>
    <n v="15403"/>
    <n v="118882953"/>
    <s v="Recovery"/>
    <n v="200"/>
    <s v="AHY"/>
    <s v="F"/>
    <n v="11"/>
    <n v="2018"/>
    <n v="2018"/>
    <n v="14"/>
    <x v="0"/>
    <s v="14B"/>
    <x v="10"/>
    <n v="1"/>
    <n v="7"/>
    <x v="0"/>
    <x v="0"/>
  </r>
  <r>
    <n v="15407"/>
    <n v="118882957"/>
    <s v="Recovery"/>
    <n v="200"/>
    <s v="AHY"/>
    <s v="M"/>
    <n v="1"/>
    <n v="2017"/>
    <n v="2016"/>
    <n v="12"/>
    <x v="0"/>
    <s v="12B"/>
    <x v="12"/>
    <n v="1"/>
    <n v="7"/>
    <x v="0"/>
    <x v="0"/>
  </r>
  <r>
    <n v="15410"/>
    <n v="118882960"/>
    <s v="Recovery"/>
    <n v="200"/>
    <s v="AHY"/>
    <s v="M"/>
    <n v="12"/>
    <n v="2017"/>
    <n v="2017"/>
    <n v="13"/>
    <x v="0"/>
    <s v="13B"/>
    <x v="13"/>
    <n v="1"/>
    <n v="7"/>
    <x v="0"/>
    <x v="0"/>
  </r>
  <r>
    <n v="15412"/>
    <n v="118882962"/>
    <s v="Recovery"/>
    <n v="200"/>
    <s v="AHY"/>
    <s v="F"/>
    <n v="12"/>
    <n v="2018"/>
    <n v="2018"/>
    <n v="14"/>
    <x v="0"/>
    <s v="14B"/>
    <x v="10"/>
    <n v="1"/>
    <n v="7"/>
    <x v="0"/>
    <x v="0"/>
  </r>
  <r>
    <n v="15413"/>
    <n v="118882963"/>
    <s v="Recovery"/>
    <n v="200"/>
    <s v="AHY"/>
    <s v="M"/>
    <n v="1"/>
    <n v="2020"/>
    <n v="2019"/>
    <n v="15"/>
    <x v="0"/>
    <s v="15B"/>
    <x v="11"/>
    <n v="1"/>
    <n v="7"/>
    <x v="0"/>
    <x v="0"/>
  </r>
  <r>
    <n v="15415"/>
    <n v="118882965"/>
    <s v="Recovery"/>
    <n v="200"/>
    <s v="AHY"/>
    <s v="F"/>
    <n v="9"/>
    <n v="2016"/>
    <n v="2016"/>
    <n v="12"/>
    <x v="0"/>
    <s v="12B"/>
    <x v="12"/>
    <n v="1"/>
    <n v="7"/>
    <x v="0"/>
    <x v="0"/>
  </r>
  <r>
    <n v="15417"/>
    <n v="118882967"/>
    <s v="Recovery"/>
    <n v="200"/>
    <s v="AHY"/>
    <s v="M"/>
    <n v="1"/>
    <n v="2018"/>
    <n v="2017"/>
    <n v="13"/>
    <x v="0"/>
    <s v="13B"/>
    <x v="13"/>
    <n v="1"/>
    <n v="7"/>
    <x v="0"/>
    <x v="0"/>
  </r>
  <r>
    <n v="15422"/>
    <n v="118882972"/>
    <s v="Recovery"/>
    <n v="200"/>
    <s v="AHY"/>
    <s v="F"/>
    <n v="1"/>
    <n v="2017"/>
    <n v="2016"/>
    <n v="12"/>
    <x v="0"/>
    <s v="12B"/>
    <x v="12"/>
    <n v="1"/>
    <n v="7"/>
    <x v="0"/>
    <x v="0"/>
  </r>
  <r>
    <n v="15423"/>
    <n v="118882973"/>
    <s v="Recovery"/>
    <n v="200"/>
    <s v="AHY"/>
    <s v="M"/>
    <n v="11"/>
    <n v="2018"/>
    <n v="2018"/>
    <n v="14"/>
    <x v="0"/>
    <s v="14B"/>
    <x v="10"/>
    <n v="1"/>
    <n v="7"/>
    <x v="0"/>
    <x v="0"/>
  </r>
  <r>
    <n v="15430"/>
    <n v="118882980"/>
    <s v="Recovery"/>
    <n v="200"/>
    <s v="AHY"/>
    <s v="M"/>
    <n v="1"/>
    <n v="2017"/>
    <n v="2016"/>
    <n v="12"/>
    <x v="0"/>
    <s v="12B"/>
    <x v="12"/>
    <n v="1"/>
    <n v="7"/>
    <x v="0"/>
    <x v="0"/>
  </r>
  <r>
    <n v="15438"/>
    <n v="118882988"/>
    <s v="Recovery"/>
    <n v="200"/>
    <s v="AHY"/>
    <s v="F"/>
    <n v="11"/>
    <n v="2017"/>
    <n v="2017"/>
    <n v="13"/>
    <x v="0"/>
    <s v="13B"/>
    <x v="13"/>
    <n v="1"/>
    <n v="7"/>
    <x v="0"/>
    <x v="0"/>
  </r>
  <r>
    <n v="15441"/>
    <n v="118882991"/>
    <s v="Recovery"/>
    <n v="200"/>
    <s v="AHY"/>
    <s v="F"/>
    <n v="1"/>
    <n v="2017"/>
    <n v="2016"/>
    <n v="12"/>
    <x v="0"/>
    <s v="12B"/>
    <x v="12"/>
    <n v="1"/>
    <n v="7"/>
    <x v="0"/>
    <x v="0"/>
  </r>
  <r>
    <n v="15442"/>
    <n v="118882992"/>
    <s v="Recovery"/>
    <n v="200"/>
    <s v="AHY"/>
    <s v="M"/>
    <n v="9"/>
    <n v="2017"/>
    <n v="2017"/>
    <n v="13"/>
    <x v="0"/>
    <s v="13B"/>
    <x v="13"/>
    <n v="1"/>
    <n v="7"/>
    <x v="0"/>
    <x v="0"/>
  </r>
  <r>
    <n v="15448"/>
    <n v="118882998"/>
    <s v="Recovery"/>
    <n v="200"/>
    <s v="AHY"/>
    <s v="F"/>
    <n v="9"/>
    <n v="2020"/>
    <n v="2020"/>
    <n v="16"/>
    <x v="0"/>
    <s v="16B"/>
    <x v="15"/>
    <n v="1"/>
    <n v="7"/>
    <x v="0"/>
    <x v="0"/>
  </r>
  <r>
    <n v="15449"/>
    <n v="118882999"/>
    <s v="Recovery"/>
    <n v="200"/>
    <s v="AHY"/>
    <s v="M"/>
    <n v="12"/>
    <n v="2016"/>
    <n v="2016"/>
    <n v="12"/>
    <x v="0"/>
    <s v="12B"/>
    <x v="12"/>
    <n v="1"/>
    <n v="7"/>
    <x v="0"/>
    <x v="0"/>
  </r>
  <r>
    <n v="15452"/>
    <n v="118882793"/>
    <s v="Recovery"/>
    <n v="200"/>
    <s v="AHY"/>
    <s v="M"/>
    <n v="1"/>
    <n v="2019"/>
    <n v="2018"/>
    <n v="14"/>
    <x v="0"/>
    <s v="14B"/>
    <x v="10"/>
    <n v="1"/>
    <n v="7"/>
    <x v="0"/>
    <x v="0"/>
  </r>
  <r>
    <n v="15458"/>
    <n v="118882799"/>
    <s v="Recovery"/>
    <n v="200"/>
    <s v="AHY"/>
    <s v="M"/>
    <n v="9"/>
    <n v="2019"/>
    <n v="2019"/>
    <n v="15"/>
    <x v="0"/>
    <s v="15B"/>
    <x v="11"/>
    <n v="1"/>
    <n v="7"/>
    <x v="0"/>
    <x v="0"/>
  </r>
  <r>
    <n v="15459"/>
    <n v="118882800"/>
    <s v="Recovery"/>
    <n v="200"/>
    <s v="AHY"/>
    <s v="M"/>
    <n v="1"/>
    <n v="2020"/>
    <n v="2019"/>
    <n v="15"/>
    <x v="0"/>
    <s v="15B"/>
    <x v="11"/>
    <n v="1"/>
    <n v="7"/>
    <x v="0"/>
    <x v="0"/>
  </r>
  <r>
    <n v="15469"/>
    <n v="118882810"/>
    <s v="Recovery"/>
    <n v="200"/>
    <s v="AHY"/>
    <s v="M"/>
    <n v="12"/>
    <n v="2018"/>
    <n v="2018"/>
    <n v="14"/>
    <x v="0"/>
    <s v="14B"/>
    <x v="10"/>
    <n v="1"/>
    <n v="7"/>
    <x v="0"/>
    <x v="0"/>
  </r>
  <r>
    <n v="15474"/>
    <n v="118882815"/>
    <s v="Recovery"/>
    <n v="200"/>
    <s v="AHY"/>
    <s v="M"/>
    <n v="12"/>
    <n v="2018"/>
    <n v="2018"/>
    <n v="14"/>
    <x v="0"/>
    <s v="14B"/>
    <x v="10"/>
    <n v="1"/>
    <n v="7"/>
    <x v="0"/>
    <x v="0"/>
  </r>
  <r>
    <n v="15477"/>
    <n v="118882818"/>
    <s v="Recovery"/>
    <n v="200"/>
    <s v="AHY"/>
    <s v="M"/>
    <n v="1"/>
    <n v="2019"/>
    <n v="2018"/>
    <n v="14"/>
    <x v="0"/>
    <s v="14B"/>
    <x v="10"/>
    <n v="1"/>
    <n v="7"/>
    <x v="0"/>
    <x v="0"/>
  </r>
  <r>
    <n v="15483"/>
    <n v="118882824"/>
    <s v="Recovery"/>
    <n v="200"/>
    <s v="AHY"/>
    <s v="M"/>
    <n v="1"/>
    <n v="2021"/>
    <n v="2020"/>
    <n v="16"/>
    <x v="0"/>
    <s v="16B"/>
    <x v="15"/>
    <n v="1"/>
    <n v="7"/>
    <x v="0"/>
    <x v="0"/>
  </r>
  <r>
    <n v="15494"/>
    <n v="118882835"/>
    <s v="Recovery"/>
    <n v="200"/>
    <s v="AHY"/>
    <s v="F"/>
    <n v="1"/>
    <n v="2019"/>
    <n v="2018"/>
    <n v="14"/>
    <x v="0"/>
    <s v="14B"/>
    <x v="10"/>
    <n v="1"/>
    <n v="7"/>
    <x v="0"/>
    <x v="0"/>
  </r>
  <r>
    <n v="15496"/>
    <n v="118882837"/>
    <s v="Recovery"/>
    <n v="200"/>
    <s v="AHY"/>
    <s v="F"/>
    <n v="12"/>
    <n v="2017"/>
    <n v="2017"/>
    <n v="13"/>
    <x v="0"/>
    <s v="13B"/>
    <x v="13"/>
    <n v="1"/>
    <n v="7"/>
    <x v="0"/>
    <x v="0"/>
  </r>
  <r>
    <n v="15500"/>
    <n v="118882841"/>
    <s v="Recovery"/>
    <n v="200"/>
    <s v="AHY"/>
    <s v="M"/>
    <n v="1"/>
    <n v="2018"/>
    <n v="2017"/>
    <n v="13"/>
    <x v="0"/>
    <s v="13B"/>
    <x v="13"/>
    <n v="1"/>
    <n v="7"/>
    <x v="0"/>
    <x v="0"/>
  </r>
  <r>
    <n v="15507"/>
    <n v="118882848"/>
    <s v="Recovery"/>
    <n v="200"/>
    <s v="AHY"/>
    <s v="M"/>
    <n v="12"/>
    <n v="2018"/>
    <n v="2018"/>
    <n v="14"/>
    <x v="0"/>
    <s v="14B"/>
    <x v="10"/>
    <n v="1"/>
    <n v="7"/>
    <x v="0"/>
    <x v="0"/>
  </r>
  <r>
    <n v="15515"/>
    <n v="118882856"/>
    <s v="Recovery"/>
    <n v="200"/>
    <s v="AHY"/>
    <s v="F"/>
    <n v="12"/>
    <n v="2017"/>
    <n v="2017"/>
    <n v="13"/>
    <x v="0"/>
    <s v="13B"/>
    <x v="13"/>
    <n v="1"/>
    <n v="7"/>
    <x v="0"/>
    <x v="0"/>
  </r>
  <r>
    <n v="15517"/>
    <n v="118882858"/>
    <s v="Recovery"/>
    <n v="200"/>
    <s v="AHY"/>
    <s v="F"/>
    <n v="1"/>
    <n v="2018"/>
    <n v="2017"/>
    <n v="13"/>
    <x v="0"/>
    <s v="13B"/>
    <x v="13"/>
    <n v="1"/>
    <n v="7"/>
    <x v="0"/>
    <x v="0"/>
  </r>
  <r>
    <n v="15523"/>
    <n v="118882864"/>
    <s v="Recovery"/>
    <n v="200"/>
    <s v="AHY"/>
    <s v="F"/>
    <n v="12"/>
    <n v="2017"/>
    <n v="2017"/>
    <n v="13"/>
    <x v="0"/>
    <s v="13B"/>
    <x v="13"/>
    <n v="1"/>
    <n v="7"/>
    <x v="0"/>
    <x v="0"/>
  </r>
  <r>
    <n v="15536"/>
    <n v="118882877"/>
    <s v="Recovery"/>
    <n v="200"/>
    <s v="AHY"/>
    <s v="F"/>
    <n v="12"/>
    <n v="2017"/>
    <n v="2017"/>
    <n v="13"/>
    <x v="0"/>
    <s v="13B"/>
    <x v="13"/>
    <n v="1"/>
    <n v="7"/>
    <x v="0"/>
    <x v="0"/>
  </r>
  <r>
    <n v="15540"/>
    <n v="118882881"/>
    <s v="Recovery"/>
    <n v="200"/>
    <s v="AHY"/>
    <s v="F"/>
    <n v="12"/>
    <n v="2017"/>
    <n v="2017"/>
    <n v="13"/>
    <x v="0"/>
    <s v="13B"/>
    <x v="13"/>
    <n v="1"/>
    <n v="7"/>
    <x v="0"/>
    <x v="0"/>
  </r>
  <r>
    <n v="15558"/>
    <n v="118882899"/>
    <s v="Recovery"/>
    <n v="200"/>
    <s v="AHY"/>
    <s v="M"/>
    <n v="1"/>
    <n v="2018"/>
    <n v="2017"/>
    <n v="13"/>
    <x v="0"/>
    <s v="13B"/>
    <x v="13"/>
    <n v="1"/>
    <n v="7"/>
    <x v="0"/>
    <x v="0"/>
  </r>
  <r>
    <n v="15559"/>
    <n v="118882900"/>
    <s v="Recovery"/>
    <n v="200"/>
    <s v="AHY"/>
    <s v="F"/>
    <n v="1"/>
    <n v="2018"/>
    <n v="2017"/>
    <n v="13"/>
    <x v="0"/>
    <s v="13B"/>
    <x v="13"/>
    <n v="1"/>
    <n v="7"/>
    <x v="0"/>
    <x v="0"/>
  </r>
  <r>
    <n v="15560"/>
    <n v="118883901"/>
    <s v="Recovery"/>
    <n v="200"/>
    <s v="AHY"/>
    <s v="M"/>
    <n v="12"/>
    <n v="2017"/>
    <n v="2017"/>
    <n v="13"/>
    <x v="0"/>
    <s v="13B"/>
    <x v="13"/>
    <n v="1"/>
    <n v="7"/>
    <x v="0"/>
    <x v="0"/>
  </r>
  <r>
    <n v="15561"/>
    <n v="118883902"/>
    <s v="Recovery"/>
    <n v="200"/>
    <s v="AHY"/>
    <s v="M"/>
    <n v="12"/>
    <n v="2020"/>
    <n v="2020"/>
    <n v="16"/>
    <x v="0"/>
    <s v="16B"/>
    <x v="15"/>
    <n v="1"/>
    <n v="7"/>
    <x v="0"/>
    <x v="0"/>
  </r>
  <r>
    <n v="15563"/>
    <n v="118883904"/>
    <s v="Recovery"/>
    <n v="200"/>
    <s v="AHY"/>
    <s v="M"/>
    <n v="1"/>
    <n v="2020"/>
    <n v="2019"/>
    <n v="15"/>
    <x v="0"/>
    <s v="15B"/>
    <x v="11"/>
    <n v="1"/>
    <n v="7"/>
    <x v="0"/>
    <x v="0"/>
  </r>
  <r>
    <n v="15570"/>
    <n v="118883911"/>
    <s v="Recovery"/>
    <n v="200"/>
    <s v="AHY"/>
    <s v="M"/>
    <n v="1"/>
    <n v="2018"/>
    <n v="2017"/>
    <n v="13"/>
    <x v="0"/>
    <s v="13B"/>
    <x v="13"/>
    <n v="1"/>
    <n v="7"/>
    <x v="0"/>
    <x v="0"/>
  </r>
  <r>
    <n v="15592"/>
    <n v="118883933"/>
    <s v="Recovery"/>
    <n v="200"/>
    <s v="AHY"/>
    <s v="M"/>
    <n v="1"/>
    <n v="2018"/>
    <n v="2017"/>
    <n v="13"/>
    <x v="0"/>
    <s v="13B"/>
    <x v="13"/>
    <n v="1"/>
    <n v="7"/>
    <x v="0"/>
    <x v="0"/>
  </r>
  <r>
    <n v="15605"/>
    <n v="118883946"/>
    <s v="Recovery"/>
    <n v="200"/>
    <s v="AHY"/>
    <s v="M"/>
    <n v="9"/>
    <n v="2020"/>
    <n v="2020"/>
    <n v="16"/>
    <x v="0"/>
    <s v="16B"/>
    <x v="15"/>
    <n v="1"/>
    <n v="7"/>
    <x v="0"/>
    <x v="0"/>
  </r>
  <r>
    <n v="15609"/>
    <n v="118883950"/>
    <s v="Recovery"/>
    <n v="200"/>
    <s v="AHY"/>
    <s v="F"/>
    <n v="11"/>
    <n v="2018"/>
    <n v="2018"/>
    <n v="14"/>
    <x v="0"/>
    <s v="14B"/>
    <x v="10"/>
    <n v="1"/>
    <n v="7"/>
    <x v="0"/>
    <x v="0"/>
  </r>
  <r>
    <n v="15612"/>
    <n v="118883953"/>
    <s v="Recovery"/>
    <n v="200"/>
    <s v="AHY"/>
    <s v="F"/>
    <n v="9"/>
    <n v="2018"/>
    <n v="2018"/>
    <n v="14"/>
    <x v="0"/>
    <s v="14B"/>
    <x v="10"/>
    <n v="1"/>
    <n v="7"/>
    <x v="0"/>
    <x v="0"/>
  </r>
  <r>
    <n v="15617"/>
    <n v="118883958"/>
    <s v="Recovery"/>
    <n v="200"/>
    <s v="AHY"/>
    <s v="M"/>
    <n v="1"/>
    <n v="2020"/>
    <n v="2019"/>
    <n v="15"/>
    <x v="0"/>
    <s v="15B"/>
    <x v="11"/>
    <n v="1"/>
    <n v="7"/>
    <x v="0"/>
    <x v="0"/>
  </r>
  <r>
    <n v="15628"/>
    <n v="118883969"/>
    <s v="Recovery"/>
    <n v="200"/>
    <s v="AHY"/>
    <s v="F"/>
    <n v="1"/>
    <n v="2018"/>
    <n v="2017"/>
    <n v="13"/>
    <x v="0"/>
    <s v="13B"/>
    <x v="13"/>
    <n v="1"/>
    <n v="7"/>
    <x v="0"/>
    <x v="0"/>
  </r>
  <r>
    <n v="15635"/>
    <n v="118883976"/>
    <s v="Recovery"/>
    <n v="200"/>
    <s v="AHY"/>
    <s v="F"/>
    <n v="11"/>
    <n v="2020"/>
    <n v="2020"/>
    <n v="16"/>
    <x v="0"/>
    <s v="16B"/>
    <x v="15"/>
    <n v="1"/>
    <n v="7"/>
    <x v="0"/>
    <x v="0"/>
  </r>
  <r>
    <n v="15639"/>
    <n v="118883980"/>
    <s v="Recovery"/>
    <n v="200"/>
    <s v="AHY"/>
    <s v="F"/>
    <n v="9"/>
    <n v="2018"/>
    <n v="2018"/>
    <n v="14"/>
    <x v="0"/>
    <s v="14B"/>
    <x v="10"/>
    <n v="1"/>
    <n v="7"/>
    <x v="0"/>
    <x v="0"/>
  </r>
  <r>
    <n v="15640"/>
    <n v="118883981"/>
    <s v="Recovery"/>
    <n v="200"/>
    <s v="AHY"/>
    <s v="F"/>
    <n v="1"/>
    <n v="2018"/>
    <n v="2017"/>
    <n v="13"/>
    <x v="0"/>
    <s v="13B"/>
    <x v="13"/>
    <n v="1"/>
    <n v="7"/>
    <x v="0"/>
    <x v="0"/>
  </r>
  <r>
    <n v="15650"/>
    <n v="118883991"/>
    <s v="Recovery"/>
    <n v="200"/>
    <s v="AHY"/>
    <s v="F"/>
    <n v="1"/>
    <n v="2018"/>
    <n v="2017"/>
    <n v="13"/>
    <x v="0"/>
    <s v="13B"/>
    <x v="13"/>
    <n v="1"/>
    <n v="7"/>
    <x v="0"/>
    <x v="0"/>
  </r>
  <r>
    <n v="15651"/>
    <n v="118883992"/>
    <s v="Recovery"/>
    <n v="200"/>
    <s v="AHY"/>
    <s v="M"/>
    <n v="1"/>
    <n v="2019"/>
    <n v="2018"/>
    <n v="14"/>
    <x v="0"/>
    <s v="14B"/>
    <x v="10"/>
    <n v="1"/>
    <n v="7"/>
    <x v="0"/>
    <x v="0"/>
  </r>
  <r>
    <n v="15652"/>
    <n v="118883993"/>
    <s v="Recovery"/>
    <n v="200"/>
    <s v="AHY"/>
    <s v="F"/>
    <n v="8"/>
    <n v="2017"/>
    <n v="2017"/>
    <n v="13"/>
    <x v="0"/>
    <s v="13B"/>
    <x v="13"/>
    <n v="1"/>
    <n v="7"/>
    <x v="0"/>
    <x v="0"/>
  </r>
  <r>
    <n v="15661"/>
    <n v="118887002"/>
    <s v="Recovery"/>
    <n v="200"/>
    <s v="AHY"/>
    <s v="F"/>
    <n v="1"/>
    <n v="2018"/>
    <n v="2017"/>
    <n v="13"/>
    <x v="0"/>
    <s v="13B"/>
    <x v="13"/>
    <n v="1"/>
    <n v="7"/>
    <x v="0"/>
    <x v="0"/>
  </r>
  <r>
    <n v="15662"/>
    <n v="118887003"/>
    <s v="Recovery"/>
    <n v="200"/>
    <s v="AHY"/>
    <s v="F"/>
    <n v="12"/>
    <n v="2020"/>
    <n v="2020"/>
    <n v="16"/>
    <x v="0"/>
    <s v="16B"/>
    <x v="15"/>
    <n v="1"/>
    <n v="7"/>
    <x v="0"/>
    <x v="0"/>
  </r>
  <r>
    <n v="15673"/>
    <n v="118887014"/>
    <s v="Recovery"/>
    <n v="200"/>
    <s v="AHY"/>
    <s v="F"/>
    <n v="12"/>
    <n v="2019"/>
    <n v="2019"/>
    <n v="15"/>
    <x v="0"/>
    <s v="15B"/>
    <x v="11"/>
    <n v="1"/>
    <n v="7"/>
    <x v="0"/>
    <x v="0"/>
  </r>
  <r>
    <n v="15674"/>
    <n v="118887015"/>
    <s v="Recovery"/>
    <n v="200"/>
    <s v="AHY"/>
    <s v="F"/>
    <n v="11"/>
    <n v="2018"/>
    <n v="2018"/>
    <n v="14"/>
    <x v="0"/>
    <s v="14B"/>
    <x v="10"/>
    <n v="1"/>
    <n v="7"/>
    <x v="0"/>
    <x v="0"/>
  </r>
  <r>
    <n v="15675"/>
    <n v="118887016"/>
    <s v="Recovery"/>
    <n v="200"/>
    <s v="AHY"/>
    <s v="M"/>
    <n v="9"/>
    <n v="2018"/>
    <n v="2018"/>
    <n v="14"/>
    <x v="0"/>
    <s v="14B"/>
    <x v="10"/>
    <n v="1"/>
    <n v="7"/>
    <x v="0"/>
    <x v="0"/>
  </r>
  <r>
    <n v="15678"/>
    <n v="118887019"/>
    <s v="Recovery"/>
    <n v="200"/>
    <s v="AHY"/>
    <s v="M"/>
    <n v="9"/>
    <n v="2018"/>
    <n v="2018"/>
    <n v="14"/>
    <x v="0"/>
    <s v="14B"/>
    <x v="10"/>
    <n v="1"/>
    <n v="7"/>
    <x v="0"/>
    <x v="0"/>
  </r>
  <r>
    <n v="15681"/>
    <n v="118887022"/>
    <s v="Recovery"/>
    <n v="200"/>
    <s v="AHY"/>
    <s v="F"/>
    <n v="9"/>
    <n v="2019"/>
    <n v="2019"/>
    <n v="15"/>
    <x v="0"/>
    <s v="15B"/>
    <x v="11"/>
    <n v="1"/>
    <n v="7"/>
    <x v="0"/>
    <x v="0"/>
  </r>
  <r>
    <n v="15687"/>
    <n v="118887028"/>
    <s v="Recovery"/>
    <n v="200"/>
    <s v="AHY"/>
    <s v="F"/>
    <n v="1"/>
    <n v="2018"/>
    <n v="2017"/>
    <n v="13"/>
    <x v="0"/>
    <s v="13B"/>
    <x v="13"/>
    <n v="1"/>
    <n v="7"/>
    <x v="0"/>
    <x v="0"/>
  </r>
  <r>
    <n v="15688"/>
    <n v="118887029"/>
    <s v="Recovery"/>
    <n v="200"/>
    <s v="AHY"/>
    <s v="F"/>
    <n v="9"/>
    <n v="2018"/>
    <n v="2018"/>
    <n v="14"/>
    <x v="0"/>
    <s v="14B"/>
    <x v="10"/>
    <n v="1"/>
    <n v="7"/>
    <x v="0"/>
    <x v="0"/>
  </r>
  <r>
    <n v="15690"/>
    <n v="118887031"/>
    <s v="Recovery"/>
    <n v="200"/>
    <s v="AHY"/>
    <s v="M"/>
    <n v="12"/>
    <n v="2019"/>
    <n v="2019"/>
    <n v="15"/>
    <x v="0"/>
    <s v="15B"/>
    <x v="11"/>
    <n v="1"/>
    <n v="7"/>
    <x v="0"/>
    <x v="0"/>
  </r>
  <r>
    <n v="15692"/>
    <n v="118887033"/>
    <s v="Recovery"/>
    <n v="200"/>
    <s v="AHY"/>
    <s v="M"/>
    <n v="9"/>
    <n v="2018"/>
    <n v="2018"/>
    <n v="14"/>
    <x v="0"/>
    <s v="14B"/>
    <x v="10"/>
    <n v="1"/>
    <n v="7"/>
    <x v="0"/>
    <x v="0"/>
  </r>
  <r>
    <n v="15698"/>
    <n v="118887039"/>
    <s v="Recovery"/>
    <n v="200"/>
    <s v="AHY"/>
    <s v="M"/>
    <n v="11"/>
    <n v="2018"/>
    <n v="2018"/>
    <n v="14"/>
    <x v="0"/>
    <s v="14B"/>
    <x v="10"/>
    <n v="1"/>
    <n v="7"/>
    <x v="0"/>
    <x v="0"/>
  </r>
  <r>
    <n v="15706"/>
    <n v="118887047"/>
    <s v="Recovery"/>
    <n v="200"/>
    <s v="AHY"/>
    <s v="F"/>
    <n v="9"/>
    <n v="2017"/>
    <n v="2017"/>
    <n v="13"/>
    <x v="0"/>
    <s v="13B"/>
    <x v="13"/>
    <n v="1"/>
    <n v="7"/>
    <x v="0"/>
    <x v="0"/>
  </r>
  <r>
    <n v="15712"/>
    <n v="118887053"/>
    <s v="Recovery"/>
    <n v="200"/>
    <s v="AHY"/>
    <s v="M"/>
    <n v="9"/>
    <n v="2017"/>
    <n v="2017"/>
    <n v="13"/>
    <x v="0"/>
    <s v="13B"/>
    <x v="13"/>
    <n v="1"/>
    <n v="7"/>
    <x v="0"/>
    <x v="0"/>
  </r>
  <r>
    <n v="15713"/>
    <n v="118887054"/>
    <s v="Recovery"/>
    <n v="200"/>
    <s v="AHY"/>
    <s v="F"/>
    <n v="12"/>
    <n v="2019"/>
    <n v="2019"/>
    <n v="15"/>
    <x v="0"/>
    <s v="15B"/>
    <x v="11"/>
    <n v="1"/>
    <n v="7"/>
    <x v="0"/>
    <x v="0"/>
  </r>
  <r>
    <n v="15720"/>
    <n v="118887061"/>
    <s v="Recovery"/>
    <n v="200"/>
    <s v="AHY"/>
    <s v="F"/>
    <n v="9"/>
    <n v="2018"/>
    <n v="2018"/>
    <n v="14"/>
    <x v="0"/>
    <s v="14B"/>
    <x v="10"/>
    <n v="1"/>
    <n v="7"/>
    <x v="0"/>
    <x v="0"/>
  </r>
  <r>
    <n v="15723"/>
    <n v="118887064"/>
    <s v="Recovery"/>
    <n v="200"/>
    <s v="AHY"/>
    <s v="F"/>
    <n v="9"/>
    <n v="2017"/>
    <n v="2017"/>
    <n v="13"/>
    <x v="0"/>
    <s v="13B"/>
    <x v="13"/>
    <n v="1"/>
    <n v="7"/>
    <x v="0"/>
    <x v="0"/>
  </r>
  <r>
    <n v="15724"/>
    <n v="118887065"/>
    <s v="Recovery"/>
    <n v="200"/>
    <s v="AHY"/>
    <s v="M"/>
    <n v="11"/>
    <n v="2018"/>
    <n v="2018"/>
    <n v="14"/>
    <x v="0"/>
    <s v="14B"/>
    <x v="10"/>
    <n v="1"/>
    <n v="7"/>
    <x v="0"/>
    <x v="0"/>
  </r>
  <r>
    <n v="15730"/>
    <n v="118887071"/>
    <s v="Recovery"/>
    <n v="200"/>
    <s v="AHY"/>
    <s v="F"/>
    <n v="1"/>
    <n v="2018"/>
    <n v="2017"/>
    <n v="13"/>
    <x v="0"/>
    <s v="13B"/>
    <x v="13"/>
    <n v="1"/>
    <n v="7"/>
    <x v="0"/>
    <x v="0"/>
  </r>
  <r>
    <n v="15732"/>
    <n v="118887073"/>
    <s v="Recovery"/>
    <n v="200"/>
    <s v="AHY"/>
    <s v="M"/>
    <n v="12"/>
    <n v="2020"/>
    <n v="2020"/>
    <n v="16"/>
    <x v="0"/>
    <s v="16B"/>
    <x v="15"/>
    <n v="1"/>
    <n v="7"/>
    <x v="0"/>
    <x v="0"/>
  </r>
  <r>
    <n v="15733"/>
    <n v="118887074"/>
    <s v="Recovery"/>
    <n v="200"/>
    <s v="AHY"/>
    <s v="M"/>
    <n v="8"/>
    <n v="2020"/>
    <n v="2020"/>
    <n v="16"/>
    <x v="0"/>
    <s v="16B"/>
    <x v="15"/>
    <n v="1"/>
    <n v="64"/>
    <x v="4"/>
    <x v="1"/>
  </r>
  <r>
    <n v="15735"/>
    <n v="118887076"/>
    <s v="Recovery"/>
    <n v="200"/>
    <s v="AHY"/>
    <s v="F"/>
    <n v="9"/>
    <n v="2018"/>
    <n v="2018"/>
    <n v="14"/>
    <x v="0"/>
    <s v="14B"/>
    <x v="10"/>
    <n v="1"/>
    <n v="7"/>
    <x v="0"/>
    <x v="0"/>
  </r>
  <r>
    <n v="15749"/>
    <n v="118887090"/>
    <s v="Recovery"/>
    <n v="200"/>
    <s v="AHY"/>
    <s v="F"/>
    <n v="1"/>
    <n v="2018"/>
    <n v="2017"/>
    <n v="13"/>
    <x v="0"/>
    <s v="13B"/>
    <x v="13"/>
    <n v="1"/>
    <n v="7"/>
    <x v="0"/>
    <x v="0"/>
  </r>
  <r>
    <n v="15764"/>
    <n v="118887105"/>
    <s v="Recovery"/>
    <n v="200"/>
    <s v="AHY"/>
    <s v="M"/>
    <n v="8"/>
    <n v="2018"/>
    <n v="2018"/>
    <n v="14"/>
    <x v="0"/>
    <s v="14B"/>
    <x v="10"/>
    <n v="1"/>
    <n v="64"/>
    <x v="4"/>
    <x v="1"/>
  </r>
  <r>
    <n v="15765"/>
    <n v="118887106"/>
    <s v="Recovery"/>
    <n v="200"/>
    <s v="AHY"/>
    <s v="M"/>
    <n v="1"/>
    <n v="2018"/>
    <n v="2017"/>
    <n v="13"/>
    <x v="0"/>
    <s v="13B"/>
    <x v="13"/>
    <n v="1"/>
    <n v="7"/>
    <x v="0"/>
    <x v="0"/>
  </r>
  <r>
    <n v="15768"/>
    <n v="118887109"/>
    <s v="Recovery"/>
    <n v="200"/>
    <s v="AHY"/>
    <s v="M"/>
    <n v="1"/>
    <n v="2018"/>
    <n v="2017"/>
    <n v="13"/>
    <x v="0"/>
    <s v="13B"/>
    <x v="13"/>
    <n v="1"/>
    <n v="7"/>
    <x v="0"/>
    <x v="0"/>
  </r>
  <r>
    <n v="15770"/>
    <n v="118887111"/>
    <s v="Recovery"/>
    <n v="200"/>
    <s v="AHY"/>
    <s v="F"/>
    <n v="1"/>
    <n v="2020"/>
    <n v="2019"/>
    <n v="15"/>
    <x v="0"/>
    <s v="15B"/>
    <x v="11"/>
    <n v="1"/>
    <n v="7"/>
    <x v="0"/>
    <x v="0"/>
  </r>
  <r>
    <n v="15776"/>
    <n v="118887117"/>
    <s v="Recovery"/>
    <n v="200"/>
    <s v="AHY"/>
    <s v="M"/>
    <n v="1"/>
    <n v="2018"/>
    <n v="2017"/>
    <n v="13"/>
    <x v="0"/>
    <s v="13B"/>
    <x v="13"/>
    <n v="1"/>
    <n v="7"/>
    <x v="0"/>
    <x v="0"/>
  </r>
  <r>
    <n v="15778"/>
    <n v="118887119"/>
    <s v="Recovery"/>
    <n v="200"/>
    <s v="AHY"/>
    <s v="F"/>
    <n v="1"/>
    <n v="2018"/>
    <n v="2017"/>
    <n v="13"/>
    <x v="0"/>
    <s v="13B"/>
    <x v="13"/>
    <n v="1"/>
    <n v="7"/>
    <x v="0"/>
    <x v="0"/>
  </r>
  <r>
    <n v="15779"/>
    <n v="118887120"/>
    <s v="Recovery"/>
    <n v="200"/>
    <s v="AHY"/>
    <s v="M"/>
    <n v="9"/>
    <n v="2017"/>
    <n v="2017"/>
    <n v="13"/>
    <x v="0"/>
    <s v="13B"/>
    <x v="13"/>
    <n v="1"/>
    <n v="7"/>
    <x v="0"/>
    <x v="0"/>
  </r>
  <r>
    <n v="15781"/>
    <n v="118887122"/>
    <s v="Recovery"/>
    <n v="200"/>
    <s v="AHY"/>
    <s v="M"/>
    <n v="9"/>
    <n v="2019"/>
    <n v="2019"/>
    <n v="15"/>
    <x v="0"/>
    <s v="15B"/>
    <x v="11"/>
    <n v="1"/>
    <n v="7"/>
    <x v="0"/>
    <x v="0"/>
  </r>
  <r>
    <n v="15784"/>
    <n v="118887125"/>
    <s v="Recovery"/>
    <n v="200"/>
    <s v="AHY"/>
    <s v="F"/>
    <n v="9"/>
    <n v="2019"/>
    <n v="2019"/>
    <n v="15"/>
    <x v="0"/>
    <s v="15B"/>
    <x v="11"/>
    <n v="1"/>
    <n v="7"/>
    <x v="0"/>
    <x v="0"/>
  </r>
  <r>
    <n v="15785"/>
    <n v="118887126"/>
    <s v="Recovery"/>
    <n v="200"/>
    <s v="AHY"/>
    <s v="M"/>
    <n v="1"/>
    <n v="2021"/>
    <n v="2020"/>
    <n v="16"/>
    <x v="0"/>
    <s v="16B"/>
    <x v="15"/>
    <n v="1"/>
    <n v="7"/>
    <x v="0"/>
    <x v="0"/>
  </r>
  <r>
    <n v="15788"/>
    <n v="118887129"/>
    <s v="Recovery"/>
    <n v="200"/>
    <s v="AHY"/>
    <s v="M"/>
    <n v="1"/>
    <n v="2020"/>
    <n v="2019"/>
    <n v="15"/>
    <x v="0"/>
    <s v="15B"/>
    <x v="11"/>
    <n v="1"/>
    <n v="7"/>
    <x v="0"/>
    <x v="0"/>
  </r>
  <r>
    <n v="15796"/>
    <n v="118887137"/>
    <s v="Recovery"/>
    <n v="200"/>
    <s v="AHY"/>
    <s v="F"/>
    <n v="9"/>
    <n v="2017"/>
    <n v="2017"/>
    <n v="13"/>
    <x v="0"/>
    <s v="13B"/>
    <x v="13"/>
    <n v="1"/>
    <n v="7"/>
    <x v="0"/>
    <x v="0"/>
  </r>
  <r>
    <n v="15804"/>
    <n v="118887145"/>
    <s v="Recovery"/>
    <n v="200"/>
    <s v="AHY"/>
    <s v="F"/>
    <n v="9"/>
    <n v="2017"/>
    <n v="2017"/>
    <n v="13"/>
    <x v="0"/>
    <s v="13B"/>
    <x v="13"/>
    <n v="1"/>
    <n v="7"/>
    <x v="0"/>
    <x v="0"/>
  </r>
  <r>
    <n v="15811"/>
    <n v="118887152"/>
    <s v="Recovery"/>
    <n v="200"/>
    <s v="AHY"/>
    <s v="M"/>
    <n v="1"/>
    <n v="2018"/>
    <n v="2017"/>
    <n v="13"/>
    <x v="0"/>
    <s v="13B"/>
    <x v="13"/>
    <n v="1"/>
    <n v="7"/>
    <x v="0"/>
    <x v="0"/>
  </r>
  <r>
    <n v="15815"/>
    <n v="118887156"/>
    <s v="Recovery"/>
    <n v="200"/>
    <s v="AHY"/>
    <s v="M"/>
    <n v="9"/>
    <n v="2019"/>
    <n v="2019"/>
    <n v="15"/>
    <x v="0"/>
    <s v="15B"/>
    <x v="11"/>
    <n v="1"/>
    <n v="7"/>
    <x v="0"/>
    <x v="0"/>
  </r>
  <r>
    <n v="15817"/>
    <n v="118887158"/>
    <s v="Recovery"/>
    <n v="200"/>
    <s v="AHY"/>
    <s v="M"/>
    <n v="1"/>
    <n v="2018"/>
    <n v="2017"/>
    <n v="13"/>
    <x v="0"/>
    <s v="13B"/>
    <x v="13"/>
    <n v="1"/>
    <n v="7"/>
    <x v="0"/>
    <x v="0"/>
  </r>
  <r>
    <n v="15820"/>
    <n v="118887161"/>
    <s v="Recovery"/>
    <n v="200"/>
    <s v="AHY"/>
    <s v="F"/>
    <n v="1"/>
    <n v="2018"/>
    <n v="2017"/>
    <n v="13"/>
    <x v="0"/>
    <s v="13B"/>
    <x v="13"/>
    <n v="1"/>
    <n v="7"/>
    <x v="0"/>
    <x v="0"/>
  </r>
  <r>
    <n v="15823"/>
    <n v="118887164"/>
    <s v="Recovery"/>
    <n v="200"/>
    <s v="AHY"/>
    <s v="F"/>
    <n v="9"/>
    <n v="2018"/>
    <n v="2018"/>
    <n v="14"/>
    <x v="0"/>
    <s v="14B"/>
    <x v="10"/>
    <n v="1"/>
    <n v="7"/>
    <x v="0"/>
    <x v="0"/>
  </r>
  <r>
    <n v="15825"/>
    <n v="118887166"/>
    <s v="Recovery"/>
    <n v="200"/>
    <s v="AHY"/>
    <s v="M"/>
    <n v="1"/>
    <n v="2021"/>
    <n v="2020"/>
    <n v="16"/>
    <x v="0"/>
    <s v="16B"/>
    <x v="15"/>
    <n v="1"/>
    <n v="7"/>
    <x v="0"/>
    <x v="0"/>
  </r>
  <r>
    <n v="15826"/>
    <n v="118887167"/>
    <s v="Recovery"/>
    <n v="200"/>
    <s v="AHY"/>
    <s v="M"/>
    <n v="9"/>
    <n v="2018"/>
    <n v="2018"/>
    <n v="14"/>
    <x v="0"/>
    <s v="14B"/>
    <x v="10"/>
    <n v="1"/>
    <n v="7"/>
    <x v="0"/>
    <x v="0"/>
  </r>
  <r>
    <n v="15827"/>
    <n v="118887168"/>
    <s v="Recovery"/>
    <n v="200"/>
    <s v="AHY"/>
    <s v="F"/>
    <n v="1"/>
    <n v="2018"/>
    <n v="2017"/>
    <n v="13"/>
    <x v="0"/>
    <s v="13B"/>
    <x v="13"/>
    <n v="1"/>
    <n v="7"/>
    <x v="0"/>
    <x v="0"/>
  </r>
  <r>
    <n v="15829"/>
    <n v="118887170"/>
    <s v="Recovery"/>
    <n v="200"/>
    <s v="AHY"/>
    <s v="F"/>
    <n v="11"/>
    <n v="2020"/>
    <n v="2020"/>
    <n v="16"/>
    <x v="0"/>
    <s v="16B"/>
    <x v="15"/>
    <n v="1"/>
    <n v="7"/>
    <x v="0"/>
    <x v="0"/>
  </r>
  <r>
    <n v="15831"/>
    <n v="118887172"/>
    <s v="Recovery"/>
    <n v="200"/>
    <s v="AHY"/>
    <s v="M"/>
    <n v="1"/>
    <n v="2018"/>
    <n v="2017"/>
    <n v="13"/>
    <x v="0"/>
    <s v="13B"/>
    <x v="13"/>
    <n v="1"/>
    <n v="7"/>
    <x v="0"/>
    <x v="0"/>
  </r>
  <r>
    <n v="15836"/>
    <n v="118887177"/>
    <s v="Recovery"/>
    <n v="200"/>
    <s v="AHY"/>
    <s v="M"/>
    <n v="9"/>
    <n v="2019"/>
    <n v="2019"/>
    <n v="15"/>
    <x v="0"/>
    <s v="15B"/>
    <x v="11"/>
    <n v="1"/>
    <n v="7"/>
    <x v="0"/>
    <x v="0"/>
  </r>
  <r>
    <n v="15845"/>
    <n v="118887186"/>
    <s v="Recovery"/>
    <n v="200"/>
    <s v="AHY"/>
    <s v="F"/>
    <n v="9"/>
    <n v="2019"/>
    <n v="2019"/>
    <n v="15"/>
    <x v="0"/>
    <s v="15B"/>
    <x v="11"/>
    <n v="1"/>
    <n v="7"/>
    <x v="0"/>
    <x v="0"/>
  </r>
  <r>
    <n v="15867"/>
    <n v="118887208"/>
    <s v="Recovery"/>
    <n v="200"/>
    <s v="HY"/>
    <s v="F"/>
    <n v="12"/>
    <n v="2017"/>
    <n v="2017"/>
    <n v="13"/>
    <x v="0"/>
    <s v="13B"/>
    <x v="13"/>
    <n v="1"/>
    <n v="7"/>
    <x v="0"/>
    <x v="0"/>
  </r>
  <r>
    <n v="15871"/>
    <n v="118887212"/>
    <s v="Recovery"/>
    <n v="200"/>
    <s v="AHY"/>
    <s v="F"/>
    <n v="1"/>
    <n v="2020"/>
    <n v="2019"/>
    <n v="15"/>
    <x v="0"/>
    <s v="15B"/>
    <x v="11"/>
    <n v="1"/>
    <n v="7"/>
    <x v="0"/>
    <x v="0"/>
  </r>
  <r>
    <n v="15873"/>
    <n v="118887214"/>
    <s v="Recovery"/>
    <n v="200"/>
    <s v="AHY"/>
    <s v="F"/>
    <n v="1"/>
    <n v="2019"/>
    <n v="2018"/>
    <n v="14"/>
    <x v="0"/>
    <s v="14B"/>
    <x v="10"/>
    <n v="1"/>
    <n v="7"/>
    <x v="0"/>
    <x v="0"/>
  </r>
  <r>
    <n v="15886"/>
    <n v="118887227"/>
    <s v="Recovery"/>
    <n v="200"/>
    <s v="AHY"/>
    <s v="F"/>
    <n v="12"/>
    <n v="2020"/>
    <n v="2020"/>
    <n v="16"/>
    <x v="0"/>
    <s v="16B"/>
    <x v="15"/>
    <n v="1"/>
    <n v="7"/>
    <x v="0"/>
    <x v="0"/>
  </r>
  <r>
    <n v="15887"/>
    <n v="118887228"/>
    <s v="Recovery"/>
    <n v="200"/>
    <s v="AHY"/>
    <s v="F"/>
    <n v="11"/>
    <n v="2019"/>
    <n v="2019"/>
    <n v="15"/>
    <x v="0"/>
    <s v="15B"/>
    <x v="11"/>
    <n v="1"/>
    <n v="39"/>
    <x v="19"/>
    <x v="1"/>
  </r>
  <r>
    <n v="15890"/>
    <n v="118887231"/>
    <s v="Recovery"/>
    <n v="200"/>
    <s v="AHY"/>
    <s v="F"/>
    <n v="9"/>
    <n v="2020"/>
    <n v="2020"/>
    <n v="16"/>
    <x v="0"/>
    <s v="16B"/>
    <x v="15"/>
    <n v="1"/>
    <n v="7"/>
    <x v="0"/>
    <x v="0"/>
  </r>
  <r>
    <n v="15905"/>
    <n v="118887246"/>
    <s v="Recovery"/>
    <n v="200"/>
    <s v="AHY"/>
    <s v="F"/>
    <n v="9"/>
    <n v="2020"/>
    <n v="2020"/>
    <n v="16"/>
    <x v="0"/>
    <s v="16B"/>
    <x v="15"/>
    <n v="1"/>
    <n v="7"/>
    <x v="0"/>
    <x v="0"/>
  </r>
  <r>
    <n v="15911"/>
    <n v="118887252"/>
    <s v="Recovery"/>
    <n v="200"/>
    <s v="AHY"/>
    <s v="M"/>
    <n v="1"/>
    <n v="2018"/>
    <n v="2017"/>
    <n v="13"/>
    <x v="0"/>
    <s v="13B"/>
    <x v="13"/>
    <n v="1"/>
    <n v="7"/>
    <x v="0"/>
    <x v="0"/>
  </r>
  <r>
    <n v="15912"/>
    <n v="118887253"/>
    <s v="Recovery"/>
    <n v="200"/>
    <s v="AHY"/>
    <s v="M"/>
    <n v="1"/>
    <n v="2021"/>
    <n v="2020"/>
    <n v="16"/>
    <x v="0"/>
    <s v="16B"/>
    <x v="15"/>
    <n v="1"/>
    <n v="7"/>
    <x v="0"/>
    <x v="0"/>
  </r>
  <r>
    <n v="15915"/>
    <n v="118887256"/>
    <s v="Recovery"/>
    <n v="200"/>
    <s v="AHY"/>
    <s v="M"/>
    <n v="1"/>
    <n v="2020"/>
    <n v="2019"/>
    <n v="15"/>
    <x v="0"/>
    <s v="15B"/>
    <x v="11"/>
    <n v="1"/>
    <n v="7"/>
    <x v="0"/>
    <x v="0"/>
  </r>
  <r>
    <n v="15925"/>
    <n v="118887266"/>
    <s v="Recovery"/>
    <n v="200"/>
    <s v="AHY"/>
    <s v="F"/>
    <n v="9"/>
    <n v="2020"/>
    <n v="2020"/>
    <n v="16"/>
    <x v="0"/>
    <s v="16B"/>
    <x v="15"/>
    <n v="1"/>
    <n v="7"/>
    <x v="0"/>
    <x v="0"/>
  </r>
  <r>
    <n v="15929"/>
    <n v="118887270"/>
    <s v="Recovery"/>
    <n v="200"/>
    <s v="AHY"/>
    <s v="M"/>
    <n v="1"/>
    <n v="2018"/>
    <n v="2017"/>
    <n v="13"/>
    <x v="0"/>
    <s v="13B"/>
    <x v="13"/>
    <n v="1"/>
    <n v="7"/>
    <x v="0"/>
    <x v="0"/>
  </r>
  <r>
    <n v="15955"/>
    <n v="118887296"/>
    <s v="Recovery"/>
    <n v="200"/>
    <s v="AHY"/>
    <s v="M"/>
    <n v="9"/>
    <n v="2020"/>
    <n v="2020"/>
    <n v="16"/>
    <x v="0"/>
    <s v="16B"/>
    <x v="15"/>
    <n v="1"/>
    <n v="7"/>
    <x v="0"/>
    <x v="0"/>
  </r>
  <r>
    <n v="15961"/>
    <n v="118887302"/>
    <s v="Recovery"/>
    <n v="200"/>
    <s v="AHY"/>
    <s v="M"/>
    <n v="1"/>
    <n v="2021"/>
    <n v="2020"/>
    <n v="16"/>
    <x v="0"/>
    <s v="16B"/>
    <x v="15"/>
    <n v="1"/>
    <n v="7"/>
    <x v="0"/>
    <x v="0"/>
  </r>
  <r>
    <n v="15980"/>
    <n v="118887321"/>
    <s v="Recovery"/>
    <n v="200"/>
    <s v="AHY"/>
    <s v="M"/>
    <n v="1"/>
    <n v="2019"/>
    <n v="2018"/>
    <n v="14"/>
    <x v="0"/>
    <s v="14B"/>
    <x v="10"/>
    <n v="1"/>
    <n v="7"/>
    <x v="0"/>
    <x v="0"/>
  </r>
  <r>
    <n v="15988"/>
    <n v="118887329"/>
    <s v="Recovery"/>
    <n v="200"/>
    <s v="AHY"/>
    <s v="M"/>
    <n v="12"/>
    <n v="2020"/>
    <n v="2020"/>
    <n v="16"/>
    <x v="0"/>
    <s v="16B"/>
    <x v="15"/>
    <n v="1"/>
    <n v="7"/>
    <x v="0"/>
    <x v="0"/>
  </r>
  <r>
    <n v="16002"/>
    <n v="118887343"/>
    <s v="Recovery"/>
    <n v="200"/>
    <s v="AHY"/>
    <s v="F"/>
    <n v="9"/>
    <n v="2019"/>
    <n v="2019"/>
    <n v="15"/>
    <x v="0"/>
    <s v="15B"/>
    <x v="11"/>
    <n v="1"/>
    <n v="7"/>
    <x v="0"/>
    <x v="0"/>
  </r>
  <r>
    <n v="16016"/>
    <n v="118887357"/>
    <s v="Recovery"/>
    <n v="200"/>
    <s v="AHY"/>
    <s v="M"/>
    <n v="11"/>
    <n v="2017"/>
    <n v="2017"/>
    <n v="13"/>
    <x v="0"/>
    <s v="13B"/>
    <x v="13"/>
    <n v="1"/>
    <n v="7"/>
    <x v="0"/>
    <x v="0"/>
  </r>
  <r>
    <n v="16019"/>
    <n v="118887360"/>
    <s v="Recovery"/>
    <n v="200"/>
    <s v="AHY"/>
    <s v="M"/>
    <n v="12"/>
    <n v="2020"/>
    <n v="2020"/>
    <n v="16"/>
    <x v="0"/>
    <s v="16B"/>
    <x v="15"/>
    <n v="1"/>
    <n v="7"/>
    <x v="0"/>
    <x v="0"/>
  </r>
  <r>
    <n v="16028"/>
    <n v="118887369"/>
    <s v="Recovery"/>
    <n v="200"/>
    <s v="AHY"/>
    <s v="M"/>
    <n v="11"/>
    <n v="2017"/>
    <n v="2017"/>
    <n v="13"/>
    <x v="0"/>
    <s v="13B"/>
    <x v="13"/>
    <n v="1"/>
    <n v="7"/>
    <x v="0"/>
    <x v="0"/>
  </r>
  <r>
    <n v="16031"/>
    <n v="118887372"/>
    <s v="Recovery"/>
    <n v="200"/>
    <s v="AHY"/>
    <s v="F"/>
    <n v="11"/>
    <n v="2017"/>
    <n v="2017"/>
    <n v="13"/>
    <x v="0"/>
    <s v="13B"/>
    <x v="13"/>
    <n v="1"/>
    <n v="7"/>
    <x v="0"/>
    <x v="0"/>
  </r>
  <r>
    <n v="16034"/>
    <n v="118887375"/>
    <s v="Recovery"/>
    <n v="200"/>
    <s v="AHY"/>
    <s v="M"/>
    <n v="12"/>
    <n v="2018"/>
    <n v="2018"/>
    <n v="14"/>
    <x v="0"/>
    <s v="14B"/>
    <x v="10"/>
    <n v="1"/>
    <n v="7"/>
    <x v="0"/>
    <x v="0"/>
  </r>
  <r>
    <n v="16049"/>
    <n v="118887390"/>
    <s v="Recovery"/>
    <n v="200"/>
    <s v="AHY"/>
    <s v="F"/>
    <n v="1"/>
    <n v="2020"/>
    <n v="2019"/>
    <n v="15"/>
    <x v="0"/>
    <s v="15B"/>
    <x v="11"/>
    <n v="1"/>
    <n v="7"/>
    <x v="0"/>
    <x v="0"/>
  </r>
  <r>
    <n v="16054"/>
    <n v="118887395"/>
    <s v="Recovery"/>
    <n v="200"/>
    <s v="AHY"/>
    <s v="F"/>
    <n v="1"/>
    <n v="2021"/>
    <n v="2020"/>
    <n v="16"/>
    <x v="0"/>
    <s v="16B"/>
    <x v="15"/>
    <n v="1"/>
    <n v="7"/>
    <x v="0"/>
    <x v="0"/>
  </r>
  <r>
    <n v="16169"/>
    <n v="119824804"/>
    <s v="Recovery"/>
    <n v="200"/>
    <s v="AHY"/>
    <s v="F"/>
    <n v="1"/>
    <n v="2019"/>
    <n v="2018"/>
    <n v="14"/>
    <x v="0"/>
    <s v="14B"/>
    <x v="10"/>
    <n v="1"/>
    <n v="7"/>
    <x v="0"/>
    <x v="0"/>
  </r>
  <r>
    <n v="16170"/>
    <n v="119824805"/>
    <s v="Recovery"/>
    <n v="200"/>
    <s v="AHY"/>
    <s v="F"/>
    <n v="1"/>
    <n v="2021"/>
    <n v="2020"/>
    <n v="16"/>
    <x v="0"/>
    <s v="16B"/>
    <x v="15"/>
    <n v="1"/>
    <n v="7"/>
    <x v="0"/>
    <x v="0"/>
  </r>
  <r>
    <n v="16173"/>
    <n v="119824808"/>
    <s v="Recovery"/>
    <n v="200"/>
    <s v="AHY"/>
    <s v="M"/>
    <n v="1"/>
    <n v="2020"/>
    <n v="2019"/>
    <n v="15"/>
    <x v="0"/>
    <s v="15B"/>
    <x v="11"/>
    <n v="1"/>
    <n v="7"/>
    <x v="0"/>
    <x v="0"/>
  </r>
  <r>
    <n v="16174"/>
    <n v="119824809"/>
    <s v="Recovery"/>
    <n v="200"/>
    <s v="AHY"/>
    <s v="M"/>
    <n v="11"/>
    <n v="2018"/>
    <n v="2018"/>
    <n v="14"/>
    <x v="0"/>
    <s v="14B"/>
    <x v="10"/>
    <n v="1"/>
    <n v="7"/>
    <x v="0"/>
    <x v="0"/>
  </r>
  <r>
    <n v="16179"/>
    <n v="119824814"/>
    <s v="Recovery"/>
    <n v="200"/>
    <s v="AHY"/>
    <s v="M"/>
    <n v="12"/>
    <n v="2017"/>
    <n v="2017"/>
    <n v="13"/>
    <x v="0"/>
    <s v="13B"/>
    <x v="13"/>
    <n v="1"/>
    <n v="7"/>
    <x v="0"/>
    <x v="0"/>
  </r>
  <r>
    <n v="16181"/>
    <n v="119824816"/>
    <s v="Recovery"/>
    <n v="200"/>
    <s v="AHY"/>
    <s v="F"/>
    <n v="1"/>
    <n v="2019"/>
    <n v="2018"/>
    <n v="14"/>
    <x v="0"/>
    <s v="14B"/>
    <x v="10"/>
    <n v="1"/>
    <n v="7"/>
    <x v="0"/>
    <x v="0"/>
  </r>
  <r>
    <n v="16183"/>
    <n v="119824818"/>
    <s v="Recovery"/>
    <n v="200"/>
    <s v="AHY"/>
    <s v="F"/>
    <n v="11"/>
    <n v="2018"/>
    <n v="2018"/>
    <n v="14"/>
    <x v="0"/>
    <s v="14B"/>
    <x v="10"/>
    <n v="1"/>
    <n v="7"/>
    <x v="0"/>
    <x v="0"/>
  </r>
  <r>
    <n v="16191"/>
    <n v="119824826"/>
    <s v="Recovery"/>
    <n v="200"/>
    <s v="AHY"/>
    <s v="M"/>
    <n v="1"/>
    <n v="2019"/>
    <n v="2018"/>
    <n v="14"/>
    <x v="0"/>
    <s v="14B"/>
    <x v="10"/>
    <n v="1"/>
    <n v="7"/>
    <x v="0"/>
    <x v="0"/>
  </r>
  <r>
    <n v="16210"/>
    <n v="119824845"/>
    <s v="Recovery"/>
    <n v="200"/>
    <s v="AHY"/>
    <s v="F"/>
    <n v="1"/>
    <n v="2018"/>
    <n v="2017"/>
    <n v="13"/>
    <x v="0"/>
    <s v="13B"/>
    <x v="13"/>
    <n v="1"/>
    <n v="7"/>
    <x v="0"/>
    <x v="0"/>
  </r>
  <r>
    <n v="16212"/>
    <n v="119824847"/>
    <s v="Recovery"/>
    <n v="200"/>
    <s v="AHY"/>
    <s v="F"/>
    <n v="1"/>
    <n v="2019"/>
    <n v="2018"/>
    <n v="14"/>
    <x v="0"/>
    <s v="14B"/>
    <x v="10"/>
    <n v="1"/>
    <n v="7"/>
    <x v="0"/>
    <x v="0"/>
  </r>
  <r>
    <n v="16231"/>
    <n v="119824866"/>
    <s v="Recovery"/>
    <n v="200"/>
    <s v="AHY"/>
    <s v="F"/>
    <n v="1"/>
    <n v="2019"/>
    <n v="2018"/>
    <n v="14"/>
    <x v="0"/>
    <s v="14B"/>
    <x v="10"/>
    <n v="1"/>
    <n v="7"/>
    <x v="0"/>
    <x v="0"/>
  </r>
  <r>
    <n v="16233"/>
    <n v="119824868"/>
    <s v="Recovery"/>
    <n v="200"/>
    <s v="AHY"/>
    <s v="M"/>
    <n v="1"/>
    <n v="2019"/>
    <n v="2018"/>
    <n v="14"/>
    <x v="0"/>
    <s v="14B"/>
    <x v="10"/>
    <n v="1"/>
    <n v="7"/>
    <x v="0"/>
    <x v="0"/>
  </r>
  <r>
    <n v="16248"/>
    <n v="119824883"/>
    <s v="Recovery"/>
    <n v="200"/>
    <s v="AHY"/>
    <s v="M"/>
    <n v="11"/>
    <n v="2017"/>
    <n v="2017"/>
    <n v="13"/>
    <x v="0"/>
    <s v="13B"/>
    <x v="13"/>
    <n v="1"/>
    <n v="7"/>
    <x v="0"/>
    <x v="0"/>
  </r>
  <r>
    <n v="16260"/>
    <n v="119824895"/>
    <s v="Recovery"/>
    <n v="200"/>
    <s v="AHY"/>
    <s v="M"/>
    <n v="9"/>
    <n v="2017"/>
    <n v="2017"/>
    <n v="13"/>
    <x v="0"/>
    <s v="13B"/>
    <x v="13"/>
    <n v="1"/>
    <n v="7"/>
    <x v="0"/>
    <x v="0"/>
  </r>
  <r>
    <n v="16261"/>
    <n v="119824896"/>
    <s v="Recovery"/>
    <n v="200"/>
    <s v="HY"/>
    <s v="M"/>
    <n v="1"/>
    <n v="2018"/>
    <n v="2017"/>
    <n v="13"/>
    <x v="0"/>
    <s v="13B"/>
    <x v="13"/>
    <n v="1"/>
    <n v="7"/>
    <x v="0"/>
    <x v="0"/>
  </r>
  <r>
    <n v="16268"/>
    <n v="119824903"/>
    <s v="Recovery"/>
    <n v="200"/>
    <s v="AHY"/>
    <s v="F"/>
    <n v="11"/>
    <n v="2018"/>
    <n v="2018"/>
    <n v="14"/>
    <x v="0"/>
    <s v="14B"/>
    <x v="10"/>
    <n v="1"/>
    <n v="7"/>
    <x v="0"/>
    <x v="0"/>
  </r>
  <r>
    <n v="16275"/>
    <n v="119824910"/>
    <s v="Recovery"/>
    <n v="200"/>
    <s v="AHY"/>
    <s v="M"/>
    <n v="11"/>
    <n v="2020"/>
    <n v="2020"/>
    <n v="16"/>
    <x v="0"/>
    <s v="16B"/>
    <x v="15"/>
    <n v="1"/>
    <n v="7"/>
    <x v="0"/>
    <x v="0"/>
  </r>
  <r>
    <n v="16280"/>
    <n v="119824915"/>
    <s v="Recovery"/>
    <n v="200"/>
    <s v="AHY"/>
    <s v="M"/>
    <n v="1"/>
    <n v="2018"/>
    <n v="2017"/>
    <n v="13"/>
    <x v="0"/>
    <s v="13B"/>
    <x v="13"/>
    <n v="1"/>
    <n v="51"/>
    <x v="21"/>
    <x v="1"/>
  </r>
  <r>
    <n v="16285"/>
    <n v="119824920"/>
    <s v="Recovery"/>
    <n v="200"/>
    <s v="AHY"/>
    <s v="M"/>
    <n v="9"/>
    <n v="2019"/>
    <n v="2019"/>
    <n v="15"/>
    <x v="0"/>
    <s v="15B"/>
    <x v="11"/>
    <n v="1"/>
    <n v="7"/>
    <x v="0"/>
    <x v="0"/>
  </r>
  <r>
    <n v="16288"/>
    <n v="119824923"/>
    <s v="Recovery"/>
    <n v="200"/>
    <s v="AHY"/>
    <s v="M"/>
    <n v="1"/>
    <n v="2019"/>
    <n v="2018"/>
    <n v="14"/>
    <x v="0"/>
    <s v="14B"/>
    <x v="10"/>
    <n v="1"/>
    <n v="7"/>
    <x v="0"/>
    <x v="0"/>
  </r>
  <r>
    <n v="16299"/>
    <n v="119824934"/>
    <s v="Recovery"/>
    <n v="200"/>
    <s v="AHY"/>
    <s v="M"/>
    <n v="1"/>
    <n v="2019"/>
    <n v="2018"/>
    <n v="14"/>
    <x v="0"/>
    <s v="14B"/>
    <x v="10"/>
    <n v="1"/>
    <n v="7"/>
    <x v="0"/>
    <x v="0"/>
  </r>
  <r>
    <n v="16304"/>
    <n v="119824939"/>
    <s v="Recovery"/>
    <n v="200"/>
    <s v="AHY"/>
    <s v="M"/>
    <n v="11"/>
    <n v="2020"/>
    <n v="2020"/>
    <n v="16"/>
    <x v="0"/>
    <s v="16B"/>
    <x v="15"/>
    <n v="1"/>
    <n v="7"/>
    <x v="0"/>
    <x v="0"/>
  </r>
  <r>
    <n v="16306"/>
    <n v="119824941"/>
    <s v="Recovery"/>
    <n v="200"/>
    <s v="AHY"/>
    <s v="M"/>
    <n v="1"/>
    <n v="2019"/>
    <n v="2018"/>
    <n v="14"/>
    <x v="0"/>
    <s v="14B"/>
    <x v="10"/>
    <n v="1"/>
    <n v="7"/>
    <x v="0"/>
    <x v="0"/>
  </r>
  <r>
    <n v="16309"/>
    <n v="119824944"/>
    <s v="Recovery"/>
    <n v="200"/>
    <s v="AHY"/>
    <s v="M"/>
    <n v="9"/>
    <n v="2017"/>
    <n v="2017"/>
    <n v="13"/>
    <x v="0"/>
    <s v="13B"/>
    <x v="13"/>
    <n v="1"/>
    <n v="7"/>
    <x v="0"/>
    <x v="0"/>
  </r>
  <r>
    <n v="16312"/>
    <n v="119824947"/>
    <s v="Recovery"/>
    <n v="200"/>
    <s v="AHY"/>
    <s v="F"/>
    <n v="1"/>
    <n v="2018"/>
    <n v="2017"/>
    <n v="13"/>
    <x v="0"/>
    <s v="13B"/>
    <x v="13"/>
    <n v="1"/>
    <n v="52"/>
    <x v="11"/>
    <x v="1"/>
  </r>
  <r>
    <n v="16316"/>
    <n v="119824951"/>
    <s v="Recovery"/>
    <n v="200"/>
    <s v="AHY"/>
    <s v="F"/>
    <n v="1"/>
    <n v="2019"/>
    <n v="2018"/>
    <n v="14"/>
    <x v="0"/>
    <s v="14B"/>
    <x v="10"/>
    <n v="1"/>
    <n v="52"/>
    <x v="11"/>
    <x v="1"/>
  </r>
  <r>
    <n v="16326"/>
    <n v="119824961"/>
    <s v="Recovery"/>
    <n v="200"/>
    <s v="AHY"/>
    <s v="F"/>
    <n v="9"/>
    <n v="2020"/>
    <n v="2020"/>
    <n v="16"/>
    <x v="0"/>
    <s v="16B"/>
    <x v="15"/>
    <n v="1"/>
    <n v="7"/>
    <x v="0"/>
    <x v="0"/>
  </r>
  <r>
    <n v="16329"/>
    <n v="119824964"/>
    <s v="Recovery"/>
    <n v="200"/>
    <s v="AHY"/>
    <s v="M"/>
    <n v="1"/>
    <n v="2019"/>
    <n v="2018"/>
    <n v="14"/>
    <x v="0"/>
    <s v="14B"/>
    <x v="10"/>
    <n v="1"/>
    <n v="52"/>
    <x v="11"/>
    <x v="1"/>
  </r>
  <r>
    <n v="16330"/>
    <n v="119824965"/>
    <s v="Recovery"/>
    <n v="200"/>
    <s v="AHY"/>
    <s v="F"/>
    <n v="12"/>
    <n v="2018"/>
    <n v="2018"/>
    <n v="14"/>
    <x v="0"/>
    <s v="14B"/>
    <x v="10"/>
    <n v="1"/>
    <n v="7"/>
    <x v="0"/>
    <x v="0"/>
  </r>
  <r>
    <n v="16345"/>
    <n v="119824980"/>
    <s v="Recovery"/>
    <n v="200"/>
    <s v="AHY"/>
    <s v="F"/>
    <n v="9"/>
    <n v="2020"/>
    <n v="2020"/>
    <n v="16"/>
    <x v="0"/>
    <s v="16B"/>
    <x v="15"/>
    <n v="1"/>
    <n v="7"/>
    <x v="0"/>
    <x v="0"/>
  </r>
  <r>
    <n v="16355"/>
    <n v="119824990"/>
    <s v="Recovery"/>
    <n v="200"/>
    <s v="AHY"/>
    <s v="M"/>
    <n v="9"/>
    <n v="2019"/>
    <n v="2019"/>
    <n v="15"/>
    <x v="0"/>
    <s v="15B"/>
    <x v="11"/>
    <n v="1"/>
    <n v="7"/>
    <x v="0"/>
    <x v="0"/>
  </r>
  <r>
    <n v="16357"/>
    <n v="119824992"/>
    <s v="Recovery"/>
    <n v="200"/>
    <s v="AHY"/>
    <s v="M"/>
    <n v="1"/>
    <n v="2018"/>
    <n v="2017"/>
    <n v="13"/>
    <x v="0"/>
    <s v="13B"/>
    <x v="13"/>
    <n v="1"/>
    <n v="82"/>
    <x v="15"/>
    <x v="1"/>
  </r>
  <r>
    <n v="16366"/>
    <n v="119825001"/>
    <s v="Recovery"/>
    <n v="200"/>
    <s v="AHY"/>
    <s v="M"/>
    <n v="9"/>
    <n v="2019"/>
    <n v="2019"/>
    <n v="15"/>
    <x v="0"/>
    <s v="15B"/>
    <x v="11"/>
    <n v="1"/>
    <n v="7"/>
    <x v="0"/>
    <x v="0"/>
  </r>
  <r>
    <n v="16369"/>
    <n v="119825004"/>
    <s v="Recovery"/>
    <n v="200"/>
    <s v="AHY"/>
    <s v="M"/>
    <n v="1"/>
    <n v="2018"/>
    <n v="2017"/>
    <n v="13"/>
    <x v="0"/>
    <s v="13B"/>
    <x v="13"/>
    <n v="1"/>
    <n v="7"/>
    <x v="0"/>
    <x v="0"/>
  </r>
  <r>
    <n v="16379"/>
    <n v="119825014"/>
    <s v="Recovery"/>
    <n v="200"/>
    <s v="AHY"/>
    <s v="F"/>
    <n v="9"/>
    <n v="2018"/>
    <n v="2018"/>
    <n v="14"/>
    <x v="0"/>
    <s v="14B"/>
    <x v="10"/>
    <n v="1"/>
    <n v="51"/>
    <x v="21"/>
    <x v="1"/>
  </r>
  <r>
    <n v="16384"/>
    <n v="119825019"/>
    <s v="Recovery"/>
    <n v="200"/>
    <s v="AHY"/>
    <s v="M"/>
    <n v="9"/>
    <n v="2018"/>
    <n v="2018"/>
    <n v="14"/>
    <x v="0"/>
    <s v="14B"/>
    <x v="10"/>
    <n v="1"/>
    <n v="7"/>
    <x v="0"/>
    <x v="0"/>
  </r>
  <r>
    <n v="16392"/>
    <n v="119825027"/>
    <s v="Recovery"/>
    <n v="200"/>
    <s v="AHY"/>
    <s v="M"/>
    <n v="9"/>
    <n v="2019"/>
    <n v="2019"/>
    <n v="15"/>
    <x v="0"/>
    <s v="15B"/>
    <x v="11"/>
    <n v="1"/>
    <n v="7"/>
    <x v="0"/>
    <x v="0"/>
  </r>
  <r>
    <n v="16396"/>
    <n v="119825031"/>
    <s v="Recovery"/>
    <n v="200"/>
    <s v="AHY"/>
    <s v="F"/>
    <n v="9"/>
    <n v="2018"/>
    <n v="2018"/>
    <n v="14"/>
    <x v="0"/>
    <s v="14B"/>
    <x v="10"/>
    <n v="1"/>
    <n v="7"/>
    <x v="0"/>
    <x v="0"/>
  </r>
  <r>
    <n v="16401"/>
    <n v="119825036"/>
    <s v="Recovery"/>
    <n v="200"/>
    <s v="AHY"/>
    <s v="M"/>
    <n v="9"/>
    <n v="2017"/>
    <n v="2017"/>
    <n v="13"/>
    <x v="0"/>
    <s v="13B"/>
    <x v="13"/>
    <n v="1"/>
    <n v="7"/>
    <x v="0"/>
    <x v="0"/>
  </r>
  <r>
    <n v="16407"/>
    <n v="119825042"/>
    <s v="Recovery"/>
    <n v="200"/>
    <s v="AHY"/>
    <s v="F"/>
    <n v="9"/>
    <n v="2017"/>
    <n v="2017"/>
    <n v="13"/>
    <x v="0"/>
    <s v="13B"/>
    <x v="13"/>
    <n v="1"/>
    <n v="7"/>
    <x v="0"/>
    <x v="0"/>
  </r>
  <r>
    <n v="16409"/>
    <n v="119825044"/>
    <s v="Recovery"/>
    <n v="200"/>
    <s v="AHY"/>
    <s v="M"/>
    <n v="9"/>
    <n v="2017"/>
    <n v="2017"/>
    <n v="13"/>
    <x v="0"/>
    <s v="13B"/>
    <x v="13"/>
    <n v="1"/>
    <n v="7"/>
    <x v="0"/>
    <x v="0"/>
  </r>
  <r>
    <n v="16412"/>
    <n v="119825047"/>
    <s v="Recovery"/>
    <n v="200"/>
    <s v="AHY"/>
    <s v="F"/>
    <n v="1"/>
    <n v="2020"/>
    <n v="2019"/>
    <n v="15"/>
    <x v="0"/>
    <s v="15B"/>
    <x v="11"/>
    <n v="1"/>
    <n v="52"/>
    <x v="11"/>
    <x v="1"/>
  </r>
  <r>
    <n v="16419"/>
    <n v="119825054"/>
    <s v="Recovery"/>
    <n v="200"/>
    <s v="AHY"/>
    <s v="F"/>
    <n v="9"/>
    <n v="2019"/>
    <n v="2019"/>
    <n v="15"/>
    <x v="0"/>
    <s v="15B"/>
    <x v="11"/>
    <n v="1"/>
    <n v="7"/>
    <x v="0"/>
    <x v="0"/>
  </r>
  <r>
    <n v="16422"/>
    <n v="119825057"/>
    <s v="Recovery"/>
    <n v="200"/>
    <s v="AHY"/>
    <s v="M"/>
    <n v="9"/>
    <n v="2019"/>
    <n v="2019"/>
    <n v="15"/>
    <x v="0"/>
    <s v="15B"/>
    <x v="11"/>
    <n v="1"/>
    <n v="7"/>
    <x v="0"/>
    <x v="0"/>
  </r>
  <r>
    <n v="16430"/>
    <n v="119825065"/>
    <s v="Recovery"/>
    <n v="200"/>
    <s v="AHY"/>
    <s v="M"/>
    <n v="9"/>
    <n v="2019"/>
    <n v="2019"/>
    <n v="15"/>
    <x v="0"/>
    <s v="15B"/>
    <x v="11"/>
    <n v="1"/>
    <n v="7"/>
    <x v="0"/>
    <x v="0"/>
  </r>
  <r>
    <n v="16431"/>
    <n v="119825066"/>
    <s v="Recovery"/>
    <n v="200"/>
    <s v="AHY"/>
    <s v="M"/>
    <n v="1"/>
    <n v="2019"/>
    <n v="2018"/>
    <n v="14"/>
    <x v="0"/>
    <s v="14B"/>
    <x v="10"/>
    <n v="1"/>
    <n v="7"/>
    <x v="0"/>
    <x v="0"/>
  </r>
  <r>
    <n v="16433"/>
    <n v="119825068"/>
    <s v="Recovery"/>
    <n v="200"/>
    <s v="AHY"/>
    <s v="F"/>
    <n v="9"/>
    <n v="2019"/>
    <n v="2019"/>
    <n v="15"/>
    <x v="0"/>
    <s v="15B"/>
    <x v="11"/>
    <n v="1"/>
    <n v="7"/>
    <x v="0"/>
    <x v="0"/>
  </r>
  <r>
    <n v="16455"/>
    <n v="119825090"/>
    <s v="Recovery"/>
    <n v="200"/>
    <s v="HY"/>
    <s v="M"/>
    <n v="9"/>
    <n v="2017"/>
    <n v="2017"/>
    <n v="13"/>
    <x v="0"/>
    <s v="13B"/>
    <x v="13"/>
    <n v="1"/>
    <n v="7"/>
    <x v="0"/>
    <x v="0"/>
  </r>
  <r>
    <n v="16466"/>
    <n v="119825101"/>
    <s v="Recovery"/>
    <n v="200"/>
    <s v="AHY"/>
    <s v="M"/>
    <n v="9"/>
    <n v="2018"/>
    <n v="2018"/>
    <n v="14"/>
    <x v="0"/>
    <s v="14B"/>
    <x v="10"/>
    <n v="1"/>
    <n v="7"/>
    <x v="0"/>
    <x v="0"/>
  </r>
  <r>
    <n v="16472"/>
    <n v="119825107"/>
    <s v="Recovery"/>
    <n v="200"/>
    <s v="AHY"/>
    <s v="M"/>
    <n v="9"/>
    <n v="2018"/>
    <n v="2018"/>
    <n v="14"/>
    <x v="0"/>
    <s v="14B"/>
    <x v="10"/>
    <n v="1"/>
    <n v="7"/>
    <x v="0"/>
    <x v="0"/>
  </r>
  <r>
    <n v="16474"/>
    <n v="119825109"/>
    <s v="Recovery"/>
    <n v="200"/>
    <s v="AHY"/>
    <s v="M"/>
    <n v="9"/>
    <n v="2018"/>
    <n v="2018"/>
    <n v="14"/>
    <x v="0"/>
    <s v="14B"/>
    <x v="10"/>
    <n v="1"/>
    <n v="7"/>
    <x v="0"/>
    <x v="0"/>
  </r>
  <r>
    <n v="16475"/>
    <n v="119825110"/>
    <s v="Recovery"/>
    <n v="200"/>
    <s v="AHY"/>
    <s v="M"/>
    <n v="12"/>
    <n v="2017"/>
    <n v="2017"/>
    <n v="13"/>
    <x v="0"/>
    <s v="13B"/>
    <x v="13"/>
    <n v="1"/>
    <n v="7"/>
    <x v="0"/>
    <x v="0"/>
  </r>
  <r>
    <n v="16484"/>
    <n v="119825119"/>
    <s v="Recovery"/>
    <n v="200"/>
    <s v="AHY"/>
    <s v="M"/>
    <n v="9"/>
    <n v="2019"/>
    <n v="2019"/>
    <n v="15"/>
    <x v="0"/>
    <s v="15B"/>
    <x v="11"/>
    <n v="1"/>
    <n v="7"/>
    <x v="0"/>
    <x v="0"/>
  </r>
  <r>
    <n v="16504"/>
    <n v="119825139"/>
    <s v="Recovery"/>
    <n v="200"/>
    <s v="HY"/>
    <s v="F"/>
    <n v="1"/>
    <n v="2018"/>
    <n v="2017"/>
    <n v="13"/>
    <x v="0"/>
    <s v="13B"/>
    <x v="13"/>
    <n v="1"/>
    <n v="7"/>
    <x v="0"/>
    <x v="0"/>
  </r>
  <r>
    <n v="16506"/>
    <n v="119825141"/>
    <s v="Recovery"/>
    <n v="200"/>
    <s v="AHY"/>
    <s v="F"/>
    <n v="9"/>
    <n v="2020"/>
    <n v="2020"/>
    <n v="16"/>
    <x v="0"/>
    <s v="16B"/>
    <x v="15"/>
    <n v="1"/>
    <n v="7"/>
    <x v="0"/>
    <x v="0"/>
  </r>
  <r>
    <n v="16512"/>
    <n v="119825147"/>
    <s v="Recovery"/>
    <n v="200"/>
    <s v="AHY"/>
    <s v="F"/>
    <n v="9"/>
    <n v="2020"/>
    <n v="2020"/>
    <n v="16"/>
    <x v="0"/>
    <s v="16B"/>
    <x v="15"/>
    <n v="1"/>
    <n v="7"/>
    <x v="0"/>
    <x v="0"/>
  </r>
  <r>
    <n v="16513"/>
    <n v="119825148"/>
    <s v="Recovery"/>
    <n v="200"/>
    <s v="AHY"/>
    <s v="F"/>
    <n v="12"/>
    <n v="2018"/>
    <n v="2018"/>
    <n v="14"/>
    <x v="0"/>
    <s v="14B"/>
    <x v="10"/>
    <n v="1"/>
    <n v="7"/>
    <x v="0"/>
    <x v="0"/>
  </r>
  <r>
    <n v="16517"/>
    <n v="119825152"/>
    <s v="Recovery"/>
    <n v="200"/>
    <s v="AHY"/>
    <s v="F"/>
    <n v="1"/>
    <n v="2018"/>
    <n v="2017"/>
    <n v="13"/>
    <x v="0"/>
    <s v="13B"/>
    <x v="13"/>
    <n v="1"/>
    <n v="7"/>
    <x v="0"/>
    <x v="0"/>
  </r>
  <r>
    <n v="16522"/>
    <n v="119825157"/>
    <s v="Recovery"/>
    <n v="200"/>
    <s v="AHY"/>
    <s v="F"/>
    <n v="1"/>
    <n v="2018"/>
    <n v="2017"/>
    <n v="13"/>
    <x v="0"/>
    <s v="13B"/>
    <x v="13"/>
    <n v="1"/>
    <n v="7"/>
    <x v="0"/>
    <x v="0"/>
  </r>
  <r>
    <n v="16523"/>
    <n v="119825158"/>
    <s v="Recovery"/>
    <n v="200"/>
    <s v="AHY"/>
    <s v="F"/>
    <n v="1"/>
    <n v="2021"/>
    <n v="2020"/>
    <n v="16"/>
    <x v="0"/>
    <s v="16B"/>
    <x v="15"/>
    <n v="1"/>
    <n v="7"/>
    <x v="0"/>
    <x v="0"/>
  </r>
  <r>
    <n v="16531"/>
    <n v="119825166"/>
    <s v="Recovery"/>
    <n v="200"/>
    <s v="AHY"/>
    <s v="F"/>
    <n v="1"/>
    <n v="2018"/>
    <n v="2017"/>
    <n v="13"/>
    <x v="0"/>
    <s v="13B"/>
    <x v="13"/>
    <n v="1"/>
    <n v="7"/>
    <x v="0"/>
    <x v="0"/>
  </r>
  <r>
    <n v="16536"/>
    <n v="119825171"/>
    <s v="Recovery"/>
    <n v="200"/>
    <s v="AHY"/>
    <s v="F"/>
    <n v="1"/>
    <n v="2020"/>
    <n v="2019"/>
    <n v="15"/>
    <x v="0"/>
    <s v="15B"/>
    <x v="11"/>
    <n v="1"/>
    <n v="7"/>
    <x v="0"/>
    <x v="0"/>
  </r>
  <r>
    <n v="16539"/>
    <n v="119825174"/>
    <s v="Recovery"/>
    <n v="200"/>
    <s v="AHY"/>
    <s v="F"/>
    <n v="1"/>
    <n v="2020"/>
    <n v="2019"/>
    <n v="15"/>
    <x v="0"/>
    <s v="15B"/>
    <x v="11"/>
    <n v="1"/>
    <n v="7"/>
    <x v="0"/>
    <x v="0"/>
  </r>
  <r>
    <n v="16543"/>
    <n v="119825178"/>
    <s v="Recovery"/>
    <n v="200"/>
    <s v="AHY"/>
    <s v="M"/>
    <n v="1"/>
    <n v="2018"/>
    <n v="2017"/>
    <n v="13"/>
    <x v="0"/>
    <s v="13B"/>
    <x v="13"/>
    <n v="1"/>
    <n v="7"/>
    <x v="0"/>
    <x v="0"/>
  </r>
  <r>
    <n v="16544"/>
    <n v="119825179"/>
    <s v="Recovery"/>
    <n v="200"/>
    <s v="AHY"/>
    <s v="F"/>
    <n v="1"/>
    <n v="2018"/>
    <n v="2017"/>
    <n v="13"/>
    <x v="0"/>
    <s v="13B"/>
    <x v="13"/>
    <n v="1"/>
    <n v="7"/>
    <x v="0"/>
    <x v="0"/>
  </r>
  <r>
    <n v="16548"/>
    <n v="119825183"/>
    <s v="Recovery"/>
    <n v="200"/>
    <s v="AHY"/>
    <s v="F"/>
    <n v="9"/>
    <n v="2019"/>
    <n v="2019"/>
    <n v="15"/>
    <x v="0"/>
    <s v="15B"/>
    <x v="11"/>
    <n v="1"/>
    <n v="7"/>
    <x v="0"/>
    <x v="0"/>
  </r>
  <r>
    <n v="16570"/>
    <n v="119825205"/>
    <s v="Recovery"/>
    <n v="200"/>
    <s v="HY"/>
    <s v="F"/>
    <n v="1"/>
    <n v="2018"/>
    <n v="2017"/>
    <n v="13"/>
    <x v="0"/>
    <s v="13B"/>
    <x v="13"/>
    <n v="1"/>
    <n v="7"/>
    <x v="0"/>
    <x v="0"/>
  </r>
  <r>
    <n v="16572"/>
    <n v="119825207"/>
    <s v="Recovery"/>
    <n v="200"/>
    <s v="AHY"/>
    <s v="M"/>
    <n v="9"/>
    <n v="2020"/>
    <n v="2020"/>
    <n v="16"/>
    <x v="0"/>
    <s v="16B"/>
    <x v="15"/>
    <n v="1"/>
    <n v="7"/>
    <x v="0"/>
    <x v="0"/>
  </r>
  <r>
    <n v="16575"/>
    <n v="119825210"/>
    <s v="Recovery"/>
    <n v="200"/>
    <s v="HY"/>
    <s v="F"/>
    <n v="1"/>
    <n v="2018"/>
    <n v="2017"/>
    <n v="13"/>
    <x v="0"/>
    <s v="13B"/>
    <x v="13"/>
    <n v="1"/>
    <n v="7"/>
    <x v="0"/>
    <x v="0"/>
  </r>
  <r>
    <n v="16577"/>
    <n v="119825212"/>
    <s v="Recovery"/>
    <n v="200"/>
    <s v="HY"/>
    <s v="M"/>
    <n v="1"/>
    <n v="2018"/>
    <n v="2017"/>
    <n v="13"/>
    <x v="0"/>
    <s v="13B"/>
    <x v="13"/>
    <n v="1"/>
    <n v="7"/>
    <x v="0"/>
    <x v="0"/>
  </r>
  <r>
    <n v="16583"/>
    <n v="119825218"/>
    <s v="Recovery"/>
    <n v="200"/>
    <s v="AHY"/>
    <s v="M"/>
    <n v="12"/>
    <n v="2020"/>
    <n v="2020"/>
    <n v="16"/>
    <x v="0"/>
    <s v="16B"/>
    <x v="15"/>
    <n v="1"/>
    <n v="7"/>
    <x v="0"/>
    <x v="0"/>
  </r>
  <r>
    <n v="16584"/>
    <n v="119825219"/>
    <s v="Recovery"/>
    <n v="200"/>
    <s v="HY"/>
    <s v="F"/>
    <n v="1"/>
    <n v="2018"/>
    <n v="2017"/>
    <n v="13"/>
    <x v="0"/>
    <s v="13B"/>
    <x v="13"/>
    <n v="1"/>
    <n v="7"/>
    <x v="0"/>
    <x v="0"/>
  </r>
  <r>
    <n v="16586"/>
    <n v="119825221"/>
    <s v="Recovery"/>
    <n v="200"/>
    <s v="HY"/>
    <s v="M"/>
    <n v="1"/>
    <n v="2018"/>
    <n v="2017"/>
    <n v="13"/>
    <x v="0"/>
    <s v="13B"/>
    <x v="13"/>
    <n v="1"/>
    <n v="7"/>
    <x v="0"/>
    <x v="0"/>
  </r>
  <r>
    <n v="16588"/>
    <n v="119825223"/>
    <s v="Recovery"/>
    <n v="200"/>
    <s v="AHY"/>
    <s v="M"/>
    <n v="9"/>
    <n v="2020"/>
    <n v="2020"/>
    <n v="16"/>
    <x v="0"/>
    <s v="16B"/>
    <x v="15"/>
    <n v="1"/>
    <n v="7"/>
    <x v="0"/>
    <x v="0"/>
  </r>
  <r>
    <n v="16592"/>
    <n v="119825227"/>
    <s v="Recovery"/>
    <n v="200"/>
    <s v="AHY"/>
    <s v="F"/>
    <n v="1"/>
    <n v="2020"/>
    <n v="2019"/>
    <n v="15"/>
    <x v="0"/>
    <s v="15B"/>
    <x v="11"/>
    <n v="1"/>
    <n v="7"/>
    <x v="0"/>
    <x v="0"/>
  </r>
  <r>
    <n v="16593"/>
    <n v="119825228"/>
    <s v="Recovery"/>
    <n v="200"/>
    <s v="AHY"/>
    <s v="F"/>
    <n v="9"/>
    <n v="2019"/>
    <n v="2019"/>
    <n v="15"/>
    <x v="0"/>
    <s v="15B"/>
    <x v="11"/>
    <n v="1"/>
    <n v="7"/>
    <x v="0"/>
    <x v="0"/>
  </r>
  <r>
    <n v="16599"/>
    <n v="119825234"/>
    <s v="Recovery"/>
    <n v="200"/>
    <s v="AHY"/>
    <s v="M"/>
    <n v="12"/>
    <n v="2018"/>
    <n v="2018"/>
    <n v="14"/>
    <x v="0"/>
    <s v="14B"/>
    <x v="10"/>
    <n v="1"/>
    <n v="7"/>
    <x v="0"/>
    <x v="0"/>
  </r>
  <r>
    <n v="16600"/>
    <n v="119825235"/>
    <s v="Recovery"/>
    <n v="200"/>
    <s v="AHY"/>
    <s v="M"/>
    <n v="1"/>
    <n v="2019"/>
    <n v="2018"/>
    <n v="14"/>
    <x v="0"/>
    <s v="14B"/>
    <x v="10"/>
    <n v="1"/>
    <n v="7"/>
    <x v="0"/>
    <x v="0"/>
  </r>
  <r>
    <n v="16601"/>
    <n v="119825236"/>
    <s v="Recovery"/>
    <n v="200"/>
    <s v="AHY"/>
    <s v="F"/>
    <n v="1"/>
    <n v="2020"/>
    <n v="2019"/>
    <n v="15"/>
    <x v="0"/>
    <s v="15B"/>
    <x v="11"/>
    <n v="1"/>
    <n v="7"/>
    <x v="0"/>
    <x v="0"/>
  </r>
  <r>
    <n v="16605"/>
    <n v="119825240"/>
    <s v="Recovery"/>
    <n v="200"/>
    <s v="AHY"/>
    <s v="M"/>
    <n v="1"/>
    <n v="2019"/>
    <n v="2018"/>
    <n v="14"/>
    <x v="0"/>
    <s v="14B"/>
    <x v="10"/>
    <n v="1"/>
    <n v="7"/>
    <x v="0"/>
    <x v="0"/>
  </r>
  <r>
    <n v="16619"/>
    <n v="119825254"/>
    <s v="Recovery"/>
    <n v="200"/>
    <s v="AHY"/>
    <s v="F"/>
    <n v="11"/>
    <n v="2018"/>
    <n v="2018"/>
    <n v="14"/>
    <x v="0"/>
    <s v="14B"/>
    <x v="10"/>
    <n v="1"/>
    <n v="7"/>
    <x v="0"/>
    <x v="0"/>
  </r>
  <r>
    <n v="16620"/>
    <n v="119825255"/>
    <s v="Recovery"/>
    <n v="200"/>
    <s v="AHY"/>
    <s v="M"/>
    <n v="1"/>
    <n v="2021"/>
    <n v="2020"/>
    <n v="16"/>
    <x v="0"/>
    <s v="16B"/>
    <x v="15"/>
    <n v="1"/>
    <n v="7"/>
    <x v="0"/>
    <x v="0"/>
  </r>
  <r>
    <n v="16629"/>
    <n v="119825264"/>
    <s v="Recovery"/>
    <n v="200"/>
    <s v="AHY"/>
    <s v="M"/>
    <n v="1"/>
    <n v="2018"/>
    <n v="2017"/>
    <n v="13"/>
    <x v="0"/>
    <s v="13B"/>
    <x v="13"/>
    <n v="1"/>
    <n v="7"/>
    <x v="0"/>
    <x v="0"/>
  </r>
  <r>
    <n v="16638"/>
    <n v="119825273"/>
    <s v="Recovery"/>
    <n v="200"/>
    <s v="AHY"/>
    <s v="M"/>
    <n v="9"/>
    <n v="2018"/>
    <n v="2018"/>
    <n v="14"/>
    <x v="0"/>
    <s v="14B"/>
    <x v="10"/>
    <n v="1"/>
    <n v="7"/>
    <x v="0"/>
    <x v="0"/>
  </r>
  <r>
    <n v="16640"/>
    <n v="119825275"/>
    <s v="Recovery"/>
    <n v="200"/>
    <s v="AHY"/>
    <s v="F"/>
    <n v="12"/>
    <n v="2018"/>
    <n v="2018"/>
    <n v="14"/>
    <x v="0"/>
    <s v="14B"/>
    <x v="10"/>
    <n v="1"/>
    <n v="7"/>
    <x v="0"/>
    <x v="0"/>
  </r>
  <r>
    <n v="16650"/>
    <n v="119825285"/>
    <s v="Recovery"/>
    <n v="200"/>
    <s v="AHY"/>
    <s v="F"/>
    <n v="11"/>
    <n v="2018"/>
    <n v="2018"/>
    <n v="14"/>
    <x v="0"/>
    <s v="14B"/>
    <x v="10"/>
    <n v="1"/>
    <n v="7"/>
    <x v="0"/>
    <x v="0"/>
  </r>
  <r>
    <n v="16653"/>
    <n v="119825288"/>
    <s v="Recovery"/>
    <n v="200"/>
    <s v="AHY"/>
    <s v="F"/>
    <n v="1"/>
    <n v="2020"/>
    <n v="2019"/>
    <n v="15"/>
    <x v="0"/>
    <s v="15B"/>
    <x v="11"/>
    <n v="1"/>
    <n v="7"/>
    <x v="0"/>
    <x v="0"/>
  </r>
  <r>
    <n v="16655"/>
    <n v="119825290"/>
    <s v="Recovery"/>
    <n v="200"/>
    <s v="AHY"/>
    <s v="F"/>
    <n v="1"/>
    <n v="2018"/>
    <n v="2017"/>
    <n v="13"/>
    <x v="0"/>
    <s v="13B"/>
    <x v="13"/>
    <n v="1"/>
    <n v="7"/>
    <x v="0"/>
    <x v="0"/>
  </r>
  <r>
    <n v="16658"/>
    <n v="119825293"/>
    <s v="Recovery"/>
    <n v="200"/>
    <s v="AHY"/>
    <s v="F"/>
    <n v="11"/>
    <n v="2019"/>
    <n v="2019"/>
    <n v="15"/>
    <x v="0"/>
    <s v="15B"/>
    <x v="11"/>
    <n v="1"/>
    <n v="7"/>
    <x v="0"/>
    <x v="0"/>
  </r>
  <r>
    <n v="16666"/>
    <n v="119825301"/>
    <s v="Recovery"/>
    <n v="200"/>
    <s v="AHY"/>
    <s v="M"/>
    <n v="11"/>
    <n v="2019"/>
    <n v="2019"/>
    <n v="15"/>
    <x v="0"/>
    <s v="15B"/>
    <x v="11"/>
    <n v="1"/>
    <n v="7"/>
    <x v="0"/>
    <x v="0"/>
  </r>
  <r>
    <n v="16667"/>
    <n v="119825302"/>
    <s v="Recovery"/>
    <n v="200"/>
    <s v="AHY"/>
    <s v="M"/>
    <n v="11"/>
    <n v="2017"/>
    <n v="2017"/>
    <n v="13"/>
    <x v="0"/>
    <s v="13B"/>
    <x v="13"/>
    <n v="1"/>
    <n v="7"/>
    <x v="0"/>
    <x v="0"/>
  </r>
  <r>
    <n v="16674"/>
    <n v="119825309"/>
    <s v="Recovery"/>
    <n v="200"/>
    <s v="AHY"/>
    <s v="F"/>
    <n v="9"/>
    <n v="2020"/>
    <n v="2020"/>
    <n v="16"/>
    <x v="0"/>
    <s v="16B"/>
    <x v="15"/>
    <n v="1"/>
    <n v="7"/>
    <x v="0"/>
    <x v="0"/>
  </r>
  <r>
    <n v="16684"/>
    <n v="119825319"/>
    <s v="Recovery"/>
    <n v="200"/>
    <s v="AHY"/>
    <s v="F"/>
    <n v="9"/>
    <n v="2020"/>
    <n v="2020"/>
    <n v="16"/>
    <x v="0"/>
    <s v="16B"/>
    <x v="15"/>
    <n v="1"/>
    <n v="7"/>
    <x v="0"/>
    <x v="0"/>
  </r>
  <r>
    <n v="16685"/>
    <n v="119825320"/>
    <s v="Recovery"/>
    <n v="200"/>
    <s v="AHY"/>
    <s v="F"/>
    <n v="12"/>
    <n v="2018"/>
    <n v="2018"/>
    <n v="14"/>
    <x v="0"/>
    <s v="14B"/>
    <x v="10"/>
    <n v="1"/>
    <n v="7"/>
    <x v="0"/>
    <x v="0"/>
  </r>
  <r>
    <n v="16704"/>
    <n v="119825339"/>
    <s v="Recovery"/>
    <n v="200"/>
    <s v="AHY"/>
    <s v="F"/>
    <n v="9"/>
    <n v="2018"/>
    <n v="2018"/>
    <n v="14"/>
    <x v="0"/>
    <s v="14B"/>
    <x v="10"/>
    <n v="1"/>
    <n v="7"/>
    <x v="0"/>
    <x v="0"/>
  </r>
  <r>
    <n v="16706"/>
    <n v="119825341"/>
    <s v="Recovery"/>
    <n v="200"/>
    <s v="AHY"/>
    <s v="F"/>
    <n v="9"/>
    <n v="2020"/>
    <n v="2020"/>
    <n v="16"/>
    <x v="0"/>
    <s v="16B"/>
    <x v="15"/>
    <n v="1"/>
    <n v="7"/>
    <x v="0"/>
    <x v="0"/>
  </r>
  <r>
    <n v="16712"/>
    <n v="119825347"/>
    <s v="Recovery"/>
    <n v="200"/>
    <s v="AHY"/>
    <s v="M"/>
    <n v="1"/>
    <n v="2018"/>
    <n v="2017"/>
    <n v="13"/>
    <x v="0"/>
    <s v="13B"/>
    <x v="13"/>
    <n v="1"/>
    <n v="7"/>
    <x v="0"/>
    <x v="0"/>
  </r>
  <r>
    <n v="16714"/>
    <n v="119825349"/>
    <s v="Recovery"/>
    <n v="200"/>
    <s v="AHY"/>
    <s v="F"/>
    <n v="12"/>
    <n v="2018"/>
    <n v="2018"/>
    <n v="14"/>
    <x v="0"/>
    <s v="14B"/>
    <x v="10"/>
    <n v="1"/>
    <n v="7"/>
    <x v="0"/>
    <x v="0"/>
  </r>
  <r>
    <n v="16715"/>
    <n v="119825350"/>
    <s v="Recovery"/>
    <n v="200"/>
    <s v="AHY"/>
    <s v="M"/>
    <n v="9"/>
    <n v="2018"/>
    <n v="2018"/>
    <n v="14"/>
    <x v="0"/>
    <s v="14B"/>
    <x v="10"/>
    <n v="1"/>
    <n v="7"/>
    <x v="0"/>
    <x v="0"/>
  </r>
  <r>
    <n v="16716"/>
    <n v="119825351"/>
    <s v="Recovery"/>
    <n v="200"/>
    <s v="AHY"/>
    <s v="F"/>
    <n v="1"/>
    <n v="2019"/>
    <n v="2018"/>
    <n v="14"/>
    <x v="0"/>
    <s v="14B"/>
    <x v="10"/>
    <n v="1"/>
    <n v="7"/>
    <x v="0"/>
    <x v="0"/>
  </r>
  <r>
    <n v="16718"/>
    <n v="119825353"/>
    <s v="Recovery"/>
    <n v="200"/>
    <s v="AHY"/>
    <s v="M"/>
    <n v="1"/>
    <n v="2018"/>
    <n v="2017"/>
    <n v="13"/>
    <x v="0"/>
    <s v="13B"/>
    <x v="13"/>
    <n v="1"/>
    <n v="7"/>
    <x v="0"/>
    <x v="0"/>
  </r>
  <r>
    <n v="16722"/>
    <n v="119825357"/>
    <s v="Recovery"/>
    <n v="200"/>
    <s v="AHY"/>
    <s v="M"/>
    <n v="12"/>
    <n v="2018"/>
    <n v="2018"/>
    <n v="14"/>
    <x v="0"/>
    <s v="14B"/>
    <x v="10"/>
    <n v="1"/>
    <n v="7"/>
    <x v="0"/>
    <x v="0"/>
  </r>
  <r>
    <n v="16736"/>
    <n v="119825371"/>
    <s v="Recovery"/>
    <n v="200"/>
    <s v="AHY"/>
    <s v="M"/>
    <n v="9"/>
    <n v="2020"/>
    <n v="2020"/>
    <n v="16"/>
    <x v="0"/>
    <s v="16B"/>
    <x v="15"/>
    <n v="1"/>
    <n v="7"/>
    <x v="0"/>
    <x v="0"/>
  </r>
  <r>
    <n v="16737"/>
    <n v="119825372"/>
    <s v="Recovery"/>
    <n v="200"/>
    <s v="AHY"/>
    <s v="F"/>
    <n v="9"/>
    <n v="2019"/>
    <n v="2019"/>
    <n v="15"/>
    <x v="0"/>
    <s v="15B"/>
    <x v="11"/>
    <n v="1"/>
    <n v="7"/>
    <x v="0"/>
    <x v="0"/>
  </r>
  <r>
    <n v="16740"/>
    <n v="119825375"/>
    <s v="Recovery"/>
    <n v="200"/>
    <s v="AHY"/>
    <s v="M"/>
    <n v="9"/>
    <n v="2020"/>
    <n v="2020"/>
    <n v="16"/>
    <x v="0"/>
    <s v="16B"/>
    <x v="15"/>
    <n v="1"/>
    <n v="7"/>
    <x v="0"/>
    <x v="0"/>
  </r>
  <r>
    <n v="16742"/>
    <n v="119825377"/>
    <s v="Recovery"/>
    <n v="200"/>
    <s v="AHY"/>
    <s v="F"/>
    <n v="12"/>
    <n v="2017"/>
    <n v="2017"/>
    <n v="13"/>
    <x v="0"/>
    <s v="13B"/>
    <x v="13"/>
    <n v="1"/>
    <n v="7"/>
    <x v="0"/>
    <x v="0"/>
  </r>
  <r>
    <n v="16753"/>
    <n v="119825388"/>
    <s v="Recovery"/>
    <n v="200"/>
    <s v="AHY"/>
    <s v="F"/>
    <n v="9"/>
    <n v="2018"/>
    <n v="2018"/>
    <n v="14"/>
    <x v="0"/>
    <s v="14B"/>
    <x v="10"/>
    <n v="1"/>
    <n v="7"/>
    <x v="0"/>
    <x v="0"/>
  </r>
  <r>
    <n v="16771"/>
    <n v="119825406"/>
    <s v="Recovery"/>
    <n v="200"/>
    <s v="AHY"/>
    <s v="F"/>
    <n v="9"/>
    <n v="2019"/>
    <n v="2019"/>
    <n v="15"/>
    <x v="0"/>
    <s v="15B"/>
    <x v="11"/>
    <n v="1"/>
    <n v="7"/>
    <x v="0"/>
    <x v="0"/>
  </r>
  <r>
    <n v="16775"/>
    <n v="119825410"/>
    <s v="Recovery"/>
    <n v="200"/>
    <s v="AHY"/>
    <s v="M"/>
    <n v="1"/>
    <n v="2021"/>
    <n v="2020"/>
    <n v="16"/>
    <x v="0"/>
    <s v="16B"/>
    <x v="15"/>
    <n v="1"/>
    <n v="7"/>
    <x v="0"/>
    <x v="0"/>
  </r>
  <r>
    <n v="16781"/>
    <n v="119825416"/>
    <s v="Recovery"/>
    <n v="200"/>
    <s v="AHY"/>
    <s v="F"/>
    <n v="9"/>
    <n v="2020"/>
    <n v="2020"/>
    <n v="16"/>
    <x v="0"/>
    <s v="16B"/>
    <x v="15"/>
    <n v="1"/>
    <n v="7"/>
    <x v="0"/>
    <x v="0"/>
  </r>
  <r>
    <n v="16784"/>
    <n v="119825419"/>
    <s v="Recovery"/>
    <n v="200"/>
    <s v="AHY"/>
    <s v="F"/>
    <n v="1"/>
    <n v="2018"/>
    <n v="2017"/>
    <n v="13"/>
    <x v="0"/>
    <s v="13B"/>
    <x v="13"/>
    <n v="1"/>
    <n v="7"/>
    <x v="0"/>
    <x v="0"/>
  </r>
  <r>
    <n v="16790"/>
    <n v="119825425"/>
    <s v="Recovery"/>
    <n v="200"/>
    <s v="AHY"/>
    <s v="F"/>
    <n v="12"/>
    <n v="2017"/>
    <n v="2017"/>
    <n v="13"/>
    <x v="0"/>
    <s v="13B"/>
    <x v="13"/>
    <n v="1"/>
    <n v="7"/>
    <x v="0"/>
    <x v="0"/>
  </r>
  <r>
    <n v="16812"/>
    <n v="119825447"/>
    <s v="Recovery"/>
    <n v="200"/>
    <s v="AHY"/>
    <s v="F"/>
    <n v="1"/>
    <n v="2020"/>
    <n v="2019"/>
    <n v="15"/>
    <x v="0"/>
    <s v="15B"/>
    <x v="11"/>
    <n v="1"/>
    <n v="52"/>
    <x v="11"/>
    <x v="1"/>
  </r>
  <r>
    <n v="16815"/>
    <n v="119825450"/>
    <s v="Recovery"/>
    <n v="200"/>
    <s v="AHY"/>
    <s v="M"/>
    <n v="1"/>
    <n v="2019"/>
    <n v="2018"/>
    <n v="14"/>
    <x v="0"/>
    <s v="14B"/>
    <x v="10"/>
    <n v="1"/>
    <n v="7"/>
    <x v="0"/>
    <x v="0"/>
  </r>
  <r>
    <n v="16816"/>
    <n v="119825451"/>
    <s v="Recovery"/>
    <n v="200"/>
    <s v="AHY"/>
    <s v="F"/>
    <n v="1"/>
    <n v="2019"/>
    <n v="2018"/>
    <n v="14"/>
    <x v="0"/>
    <s v="14B"/>
    <x v="10"/>
    <n v="1"/>
    <n v="7"/>
    <x v="0"/>
    <x v="0"/>
  </r>
  <r>
    <n v="16824"/>
    <n v="119825459"/>
    <s v="Recovery"/>
    <n v="200"/>
    <s v="AHY"/>
    <s v="M"/>
    <n v="12"/>
    <n v="2019"/>
    <n v="2019"/>
    <n v="15"/>
    <x v="0"/>
    <s v="15B"/>
    <x v="11"/>
    <n v="1"/>
    <n v="7"/>
    <x v="0"/>
    <x v="0"/>
  </r>
  <r>
    <n v="16831"/>
    <n v="119825466"/>
    <s v="Recovery"/>
    <n v="200"/>
    <s v="AHY"/>
    <s v="M"/>
    <n v="12"/>
    <n v="2019"/>
    <n v="2019"/>
    <n v="15"/>
    <x v="0"/>
    <s v="15B"/>
    <x v="11"/>
    <n v="1"/>
    <n v="7"/>
    <x v="0"/>
    <x v="0"/>
  </r>
  <r>
    <n v="16842"/>
    <n v="119825477"/>
    <s v="Recovery"/>
    <n v="200"/>
    <s v="AHY"/>
    <s v="M"/>
    <n v="9"/>
    <n v="2019"/>
    <n v="2019"/>
    <n v="15"/>
    <x v="0"/>
    <s v="15B"/>
    <x v="11"/>
    <n v="1"/>
    <n v="7"/>
    <x v="0"/>
    <x v="0"/>
  </r>
  <r>
    <n v="16844"/>
    <n v="119825479"/>
    <s v="Recovery"/>
    <n v="200"/>
    <s v="AHY"/>
    <s v="F"/>
    <n v="1"/>
    <n v="2021"/>
    <n v="2020"/>
    <n v="16"/>
    <x v="0"/>
    <s v="16B"/>
    <x v="15"/>
    <n v="1"/>
    <n v="7"/>
    <x v="0"/>
    <x v="0"/>
  </r>
  <r>
    <n v="16849"/>
    <n v="119825484"/>
    <s v="Recovery"/>
    <n v="200"/>
    <s v="AHY"/>
    <s v="M"/>
    <n v="1"/>
    <n v="2018"/>
    <n v="2017"/>
    <n v="13"/>
    <x v="0"/>
    <s v="13B"/>
    <x v="13"/>
    <n v="1"/>
    <n v="7"/>
    <x v="0"/>
    <x v="0"/>
  </r>
  <r>
    <n v="16858"/>
    <n v="119825493"/>
    <s v="Recovery"/>
    <n v="200"/>
    <s v="AHY"/>
    <s v="M"/>
    <n v="9"/>
    <n v="2019"/>
    <n v="2019"/>
    <n v="15"/>
    <x v="0"/>
    <s v="15B"/>
    <x v="11"/>
    <n v="1"/>
    <n v="7"/>
    <x v="0"/>
    <x v="0"/>
  </r>
  <r>
    <n v="16862"/>
    <n v="119825497"/>
    <s v="Recovery"/>
    <n v="200"/>
    <s v="AHY"/>
    <s v="F"/>
    <n v="12"/>
    <n v="2019"/>
    <n v="2019"/>
    <n v="15"/>
    <x v="0"/>
    <s v="15B"/>
    <x v="11"/>
    <n v="1"/>
    <n v="7"/>
    <x v="0"/>
    <x v="0"/>
  </r>
  <r>
    <n v="16863"/>
    <n v="119825498"/>
    <s v="Recovery"/>
    <n v="200"/>
    <s v="AHY"/>
    <s v="M"/>
    <n v="1"/>
    <n v="2019"/>
    <n v="2018"/>
    <n v="14"/>
    <x v="0"/>
    <s v="14B"/>
    <x v="10"/>
    <n v="1"/>
    <n v="7"/>
    <x v="0"/>
    <x v="0"/>
  </r>
  <r>
    <n v="16872"/>
    <n v="119825507"/>
    <s v="Recovery"/>
    <n v="200"/>
    <s v="AHY"/>
    <s v="F"/>
    <n v="9"/>
    <n v="2020"/>
    <n v="2020"/>
    <n v="16"/>
    <x v="0"/>
    <s v="16B"/>
    <x v="15"/>
    <n v="1"/>
    <n v="7"/>
    <x v="0"/>
    <x v="0"/>
  </r>
  <r>
    <n v="16875"/>
    <n v="119825510"/>
    <s v="Recovery"/>
    <n v="200"/>
    <s v="AHY"/>
    <s v="M"/>
    <n v="12"/>
    <n v="2018"/>
    <n v="2018"/>
    <n v="14"/>
    <x v="0"/>
    <s v="14B"/>
    <x v="10"/>
    <n v="1"/>
    <n v="7"/>
    <x v="0"/>
    <x v="0"/>
  </r>
  <r>
    <n v="16880"/>
    <n v="119825515"/>
    <s v="Recovery"/>
    <n v="200"/>
    <s v="AHY"/>
    <s v="F"/>
    <n v="1"/>
    <n v="2019"/>
    <n v="2018"/>
    <n v="14"/>
    <x v="0"/>
    <s v="14B"/>
    <x v="10"/>
    <n v="1"/>
    <n v="7"/>
    <x v="0"/>
    <x v="0"/>
  </r>
  <r>
    <n v="16882"/>
    <n v="119825517"/>
    <s v="Recovery"/>
    <n v="200"/>
    <s v="AHY"/>
    <s v="F"/>
    <n v="9"/>
    <n v="2017"/>
    <n v="2017"/>
    <n v="13"/>
    <x v="0"/>
    <s v="13B"/>
    <x v="13"/>
    <n v="1"/>
    <n v="7"/>
    <x v="0"/>
    <x v="0"/>
  </r>
  <r>
    <n v="16884"/>
    <n v="119825519"/>
    <s v="Recovery"/>
    <n v="200"/>
    <s v="AHY"/>
    <s v="M"/>
    <n v="1"/>
    <n v="2021"/>
    <n v="2020"/>
    <n v="16"/>
    <x v="0"/>
    <s v="16B"/>
    <x v="15"/>
    <n v="1"/>
    <n v="7"/>
    <x v="0"/>
    <x v="0"/>
  </r>
  <r>
    <n v="16887"/>
    <n v="119825522"/>
    <s v="Recovery"/>
    <n v="200"/>
    <s v="AHY"/>
    <s v="M"/>
    <n v="12"/>
    <n v="2019"/>
    <n v="2019"/>
    <n v="15"/>
    <x v="0"/>
    <s v="15B"/>
    <x v="11"/>
    <n v="1"/>
    <n v="7"/>
    <x v="0"/>
    <x v="0"/>
  </r>
  <r>
    <n v="16890"/>
    <n v="119825525"/>
    <s v="Recovery"/>
    <n v="200"/>
    <s v="AHY"/>
    <s v="M"/>
    <n v="11"/>
    <n v="2020"/>
    <n v="2020"/>
    <n v="16"/>
    <x v="0"/>
    <s v="16B"/>
    <x v="15"/>
    <n v="1"/>
    <n v="7"/>
    <x v="0"/>
    <x v="0"/>
  </r>
  <r>
    <n v="16896"/>
    <n v="119825531"/>
    <s v="Recovery"/>
    <n v="200"/>
    <s v="AHY"/>
    <s v="F"/>
    <n v="1"/>
    <n v="2018"/>
    <n v="2017"/>
    <n v="13"/>
    <x v="0"/>
    <s v="13B"/>
    <x v="13"/>
    <n v="1"/>
    <n v="7"/>
    <x v="0"/>
    <x v="0"/>
  </r>
  <r>
    <n v="16914"/>
    <n v="119825549"/>
    <s v="Recovery"/>
    <n v="200"/>
    <s v="AHY"/>
    <s v="M"/>
    <n v="1"/>
    <n v="2020"/>
    <n v="2019"/>
    <n v="15"/>
    <x v="0"/>
    <s v="15B"/>
    <x v="11"/>
    <n v="1"/>
    <n v="7"/>
    <x v="0"/>
    <x v="0"/>
  </r>
  <r>
    <n v="16919"/>
    <n v="119825554"/>
    <s v="Recovery"/>
    <n v="200"/>
    <s v="AHY"/>
    <s v="F"/>
    <n v="1"/>
    <n v="2018"/>
    <n v="2017"/>
    <n v="13"/>
    <x v="0"/>
    <s v="13B"/>
    <x v="13"/>
    <n v="1"/>
    <n v="7"/>
    <x v="0"/>
    <x v="0"/>
  </r>
  <r>
    <n v="16922"/>
    <n v="119825557"/>
    <s v="Recovery"/>
    <n v="200"/>
    <s v="AHY"/>
    <s v="M"/>
    <n v="1"/>
    <n v="2019"/>
    <n v="2018"/>
    <n v="14"/>
    <x v="0"/>
    <s v="14B"/>
    <x v="10"/>
    <n v="1"/>
    <n v="7"/>
    <x v="0"/>
    <x v="0"/>
  </r>
  <r>
    <n v="16923"/>
    <n v="119825558"/>
    <s v="Recovery"/>
    <n v="200"/>
    <s v="AHY"/>
    <s v="M"/>
    <n v="12"/>
    <n v="2019"/>
    <n v="2019"/>
    <n v="15"/>
    <x v="0"/>
    <s v="15B"/>
    <x v="11"/>
    <n v="1"/>
    <n v="7"/>
    <x v="0"/>
    <x v="0"/>
  </r>
  <r>
    <n v="16924"/>
    <n v="119825559"/>
    <s v="Recovery"/>
    <n v="200"/>
    <s v="AHY"/>
    <s v="M"/>
    <n v="9"/>
    <n v="2018"/>
    <n v="2018"/>
    <n v="14"/>
    <x v="0"/>
    <s v="14B"/>
    <x v="10"/>
    <n v="1"/>
    <n v="7"/>
    <x v="0"/>
    <x v="0"/>
  </r>
  <r>
    <n v="16952"/>
    <n v="119825587"/>
    <s v="Recovery"/>
    <n v="200"/>
    <s v="AHY"/>
    <s v="F"/>
    <n v="9"/>
    <n v="2019"/>
    <n v="2019"/>
    <n v="15"/>
    <x v="0"/>
    <s v="15B"/>
    <x v="11"/>
    <n v="1"/>
    <n v="7"/>
    <x v="0"/>
    <x v="0"/>
  </r>
  <r>
    <n v="16957"/>
    <n v="119825592"/>
    <s v="Recovery"/>
    <n v="200"/>
    <s v="AHY"/>
    <s v="M"/>
    <n v="9"/>
    <n v="2019"/>
    <n v="2019"/>
    <n v="15"/>
    <x v="0"/>
    <s v="15B"/>
    <x v="11"/>
    <n v="1"/>
    <n v="7"/>
    <x v="0"/>
    <x v="0"/>
  </r>
  <r>
    <n v="16968"/>
    <n v="119825603"/>
    <s v="Recovery"/>
    <n v="200"/>
    <s v="AHY"/>
    <s v="F"/>
    <n v="1"/>
    <n v="2019"/>
    <n v="2018"/>
    <n v="14"/>
    <x v="0"/>
    <s v="14B"/>
    <x v="10"/>
    <n v="1"/>
    <n v="7"/>
    <x v="0"/>
    <x v="0"/>
  </r>
  <r>
    <n v="16981"/>
    <n v="119825616"/>
    <s v="Recovery"/>
    <n v="200"/>
    <s v="AHY"/>
    <s v="M"/>
    <n v="1"/>
    <n v="2019"/>
    <n v="2018"/>
    <n v="14"/>
    <x v="0"/>
    <s v="14B"/>
    <x v="10"/>
    <n v="1"/>
    <n v="7"/>
    <x v="0"/>
    <x v="0"/>
  </r>
  <r>
    <n v="16982"/>
    <n v="119825617"/>
    <s v="Recovery"/>
    <n v="200"/>
    <s v="AHY"/>
    <s v="M"/>
    <n v="1"/>
    <n v="2018"/>
    <n v="2017"/>
    <n v="13"/>
    <x v="0"/>
    <s v="13B"/>
    <x v="13"/>
    <n v="1"/>
    <n v="7"/>
    <x v="0"/>
    <x v="0"/>
  </r>
  <r>
    <n v="16983"/>
    <n v="119825618"/>
    <s v="Recovery"/>
    <n v="200"/>
    <s v="AHY"/>
    <s v="M"/>
    <n v="9"/>
    <n v="2017"/>
    <n v="2017"/>
    <n v="13"/>
    <x v="0"/>
    <s v="13B"/>
    <x v="13"/>
    <n v="1"/>
    <n v="7"/>
    <x v="0"/>
    <x v="0"/>
  </r>
  <r>
    <n v="16990"/>
    <n v="119825625"/>
    <s v="Recovery"/>
    <n v="200"/>
    <s v="AHY"/>
    <s v="M"/>
    <n v="10"/>
    <n v="2020"/>
    <n v="2020"/>
    <n v="16"/>
    <x v="0"/>
    <s v="16B"/>
    <x v="15"/>
    <n v="1"/>
    <n v="7"/>
    <x v="0"/>
    <x v="0"/>
  </r>
  <r>
    <n v="16992"/>
    <n v="119825627"/>
    <s v="Recovery"/>
    <n v="200"/>
    <s v="AHY"/>
    <s v="F"/>
    <n v="12"/>
    <n v="2017"/>
    <n v="2017"/>
    <n v="13"/>
    <x v="0"/>
    <s v="13B"/>
    <x v="13"/>
    <n v="1"/>
    <n v="7"/>
    <x v="0"/>
    <x v="0"/>
  </r>
  <r>
    <n v="16994"/>
    <n v="119825629"/>
    <s v="Recovery"/>
    <n v="200"/>
    <s v="AHY"/>
    <s v="M"/>
    <n v="1"/>
    <n v="2018"/>
    <n v="2017"/>
    <n v="13"/>
    <x v="0"/>
    <s v="13B"/>
    <x v="13"/>
    <n v="1"/>
    <n v="7"/>
    <x v="0"/>
    <x v="0"/>
  </r>
  <r>
    <n v="16997"/>
    <n v="119825632"/>
    <s v="Recovery"/>
    <n v="200"/>
    <s v="AHY"/>
    <s v="M"/>
    <n v="9"/>
    <n v="2017"/>
    <n v="2017"/>
    <n v="13"/>
    <x v="0"/>
    <s v="13B"/>
    <x v="13"/>
    <n v="1"/>
    <n v="7"/>
    <x v="0"/>
    <x v="0"/>
  </r>
  <r>
    <n v="17009"/>
    <n v="119825644"/>
    <s v="Recovery"/>
    <n v="200"/>
    <s v="AHY"/>
    <s v="M"/>
    <n v="1"/>
    <n v="2018"/>
    <n v="2017"/>
    <n v="13"/>
    <x v="0"/>
    <s v="13B"/>
    <x v="13"/>
    <n v="1"/>
    <n v="7"/>
    <x v="0"/>
    <x v="0"/>
  </r>
  <r>
    <n v="17013"/>
    <n v="119825648"/>
    <s v="Recovery"/>
    <n v="200"/>
    <s v="AHY"/>
    <s v="F"/>
    <n v="1"/>
    <n v="2021"/>
    <n v="2020"/>
    <n v="16"/>
    <x v="0"/>
    <s v="16B"/>
    <x v="15"/>
    <n v="1"/>
    <n v="7"/>
    <x v="0"/>
    <x v="0"/>
  </r>
  <r>
    <n v="17022"/>
    <n v="119825657"/>
    <s v="Recovery"/>
    <n v="200"/>
    <s v="AHY"/>
    <s v="F"/>
    <n v="12"/>
    <n v="2018"/>
    <n v="2018"/>
    <n v="14"/>
    <x v="0"/>
    <s v="14B"/>
    <x v="10"/>
    <n v="1"/>
    <n v="7"/>
    <x v="0"/>
    <x v="0"/>
  </r>
  <r>
    <n v="17026"/>
    <n v="119825661"/>
    <s v="Recovery"/>
    <n v="200"/>
    <s v="AHY"/>
    <s v="M"/>
    <n v="12"/>
    <n v="2017"/>
    <n v="2017"/>
    <n v="13"/>
    <x v="0"/>
    <s v="13B"/>
    <x v="13"/>
    <n v="1"/>
    <n v="7"/>
    <x v="0"/>
    <x v="0"/>
  </r>
  <r>
    <n v="17031"/>
    <n v="119825666"/>
    <s v="Recovery"/>
    <n v="200"/>
    <s v="AHY"/>
    <s v="F"/>
    <n v="12"/>
    <n v="2018"/>
    <n v="2018"/>
    <n v="14"/>
    <x v="0"/>
    <s v="14B"/>
    <x v="10"/>
    <n v="1"/>
    <n v="7"/>
    <x v="0"/>
    <x v="0"/>
  </r>
  <r>
    <n v="17032"/>
    <n v="119825667"/>
    <s v="Recovery"/>
    <n v="200"/>
    <s v="AHY"/>
    <s v="M"/>
    <n v="1"/>
    <n v="2019"/>
    <n v="2018"/>
    <n v="14"/>
    <x v="0"/>
    <s v="14B"/>
    <x v="10"/>
    <n v="1"/>
    <n v="7"/>
    <x v="0"/>
    <x v="0"/>
  </r>
  <r>
    <n v="17040"/>
    <n v="119825675"/>
    <s v="Recovery"/>
    <n v="200"/>
    <s v="AHY"/>
    <s v="M"/>
    <n v="1"/>
    <n v="2020"/>
    <n v="2019"/>
    <n v="15"/>
    <x v="0"/>
    <s v="15B"/>
    <x v="11"/>
    <n v="1"/>
    <n v="7"/>
    <x v="0"/>
    <x v="0"/>
  </r>
  <r>
    <n v="17047"/>
    <n v="119825682"/>
    <s v="Recovery"/>
    <n v="200"/>
    <s v="AHY"/>
    <s v="F"/>
    <n v="12"/>
    <n v="2017"/>
    <n v="2017"/>
    <n v="13"/>
    <x v="0"/>
    <s v="13B"/>
    <x v="13"/>
    <n v="1"/>
    <n v="7"/>
    <x v="0"/>
    <x v="0"/>
  </r>
  <r>
    <n v="17058"/>
    <n v="119825693"/>
    <s v="Recovery"/>
    <n v="200"/>
    <s v="AHY"/>
    <s v="M"/>
    <n v="1"/>
    <n v="2018"/>
    <n v="2017"/>
    <n v="13"/>
    <x v="0"/>
    <s v="13B"/>
    <x v="13"/>
    <n v="1"/>
    <n v="7"/>
    <x v="0"/>
    <x v="0"/>
  </r>
  <r>
    <n v="17062"/>
    <n v="119825697"/>
    <s v="Recovery"/>
    <n v="200"/>
    <s v="AHY"/>
    <s v="M"/>
    <n v="1"/>
    <n v="2019"/>
    <n v="2018"/>
    <n v="14"/>
    <x v="0"/>
    <s v="14B"/>
    <x v="10"/>
    <n v="1"/>
    <n v="7"/>
    <x v="0"/>
    <x v="0"/>
  </r>
  <r>
    <n v="17063"/>
    <n v="119825698"/>
    <s v="Recovery"/>
    <n v="200"/>
    <s v="AHY"/>
    <s v="F"/>
    <n v="1"/>
    <n v="2018"/>
    <n v="2017"/>
    <n v="13"/>
    <x v="0"/>
    <s v="13B"/>
    <x v="13"/>
    <n v="1"/>
    <n v="7"/>
    <x v="0"/>
    <x v="0"/>
  </r>
  <r>
    <n v="17072"/>
    <n v="119825707"/>
    <s v="Recovery"/>
    <n v="200"/>
    <s v="AHY"/>
    <s v="M"/>
    <n v="9"/>
    <n v="2018"/>
    <n v="2018"/>
    <n v="14"/>
    <x v="0"/>
    <s v="14B"/>
    <x v="10"/>
    <n v="1"/>
    <n v="7"/>
    <x v="0"/>
    <x v="0"/>
  </r>
  <r>
    <n v="17082"/>
    <n v="119825717"/>
    <s v="Recovery"/>
    <n v="200"/>
    <s v="AHY"/>
    <s v="M"/>
    <n v="9"/>
    <n v="2017"/>
    <n v="2017"/>
    <n v="13"/>
    <x v="0"/>
    <s v="13B"/>
    <x v="13"/>
    <n v="1"/>
    <n v="7"/>
    <x v="0"/>
    <x v="0"/>
  </r>
  <r>
    <n v="17083"/>
    <n v="119825718"/>
    <s v="Recovery"/>
    <n v="200"/>
    <s v="AHY"/>
    <s v="M"/>
    <n v="1"/>
    <n v="2021"/>
    <n v="2020"/>
    <n v="16"/>
    <x v="0"/>
    <s v="16B"/>
    <x v="15"/>
    <n v="1"/>
    <n v="7"/>
    <x v="0"/>
    <x v="0"/>
  </r>
  <r>
    <n v="17084"/>
    <n v="119825719"/>
    <s v="Recovery"/>
    <n v="200"/>
    <s v="AHY"/>
    <s v="F"/>
    <n v="1"/>
    <n v="2021"/>
    <n v="2020"/>
    <n v="16"/>
    <x v="0"/>
    <s v="16B"/>
    <x v="15"/>
    <n v="1"/>
    <n v="7"/>
    <x v="0"/>
    <x v="0"/>
  </r>
  <r>
    <n v="17089"/>
    <n v="119825724"/>
    <s v="Recovery"/>
    <n v="200"/>
    <s v="AHY"/>
    <s v="F"/>
    <n v="9"/>
    <n v="2019"/>
    <n v="2019"/>
    <n v="15"/>
    <x v="0"/>
    <s v="15B"/>
    <x v="11"/>
    <n v="1"/>
    <n v="7"/>
    <x v="0"/>
    <x v="0"/>
  </r>
  <r>
    <n v="17100"/>
    <n v="119825735"/>
    <s v="Recovery"/>
    <n v="200"/>
    <s v="AHY"/>
    <s v="M"/>
    <n v="11"/>
    <n v="2018"/>
    <n v="2018"/>
    <n v="14"/>
    <x v="0"/>
    <s v="14B"/>
    <x v="10"/>
    <n v="1"/>
    <n v="7"/>
    <x v="0"/>
    <x v="0"/>
  </r>
  <r>
    <n v="17105"/>
    <n v="119825740"/>
    <s v="Recovery"/>
    <n v="200"/>
    <s v="AHY"/>
    <s v="M"/>
    <n v="1"/>
    <n v="2021"/>
    <n v="2020"/>
    <n v="16"/>
    <x v="0"/>
    <s v="16B"/>
    <x v="15"/>
    <n v="1"/>
    <n v="7"/>
    <x v="0"/>
    <x v="0"/>
  </r>
  <r>
    <n v="17111"/>
    <n v="119825746"/>
    <s v="Recovery"/>
    <n v="200"/>
    <s v="AHY"/>
    <s v="M"/>
    <n v="10"/>
    <n v="2019"/>
    <n v="2019"/>
    <n v="15"/>
    <x v="0"/>
    <s v="15B"/>
    <x v="11"/>
    <n v="1"/>
    <n v="52"/>
    <x v="11"/>
    <x v="1"/>
  </r>
  <r>
    <n v="17123"/>
    <n v="119825758"/>
    <s v="Recovery"/>
    <n v="200"/>
    <s v="AHY"/>
    <s v="F"/>
    <n v="9"/>
    <n v="2017"/>
    <n v="2017"/>
    <n v="13"/>
    <x v="0"/>
    <s v="13B"/>
    <x v="13"/>
    <n v="1"/>
    <n v="7"/>
    <x v="0"/>
    <x v="0"/>
  </r>
  <r>
    <n v="17139"/>
    <n v="119825774"/>
    <s v="Recovery"/>
    <n v="200"/>
    <s v="AHY"/>
    <s v="F"/>
    <n v="1"/>
    <n v="2019"/>
    <n v="2018"/>
    <n v="14"/>
    <x v="0"/>
    <s v="14B"/>
    <x v="10"/>
    <n v="1"/>
    <n v="7"/>
    <x v="0"/>
    <x v="0"/>
  </r>
  <r>
    <n v="17142"/>
    <n v="119825777"/>
    <s v="Recovery"/>
    <n v="200"/>
    <s v="AHY"/>
    <s v="M"/>
    <n v="9"/>
    <n v="2018"/>
    <n v="2018"/>
    <n v="14"/>
    <x v="0"/>
    <s v="14B"/>
    <x v="10"/>
    <n v="1"/>
    <n v="7"/>
    <x v="0"/>
    <x v="0"/>
  </r>
  <r>
    <n v="17145"/>
    <n v="119825780"/>
    <s v="Recovery"/>
    <n v="200"/>
    <s v="AHY"/>
    <s v="M"/>
    <n v="1"/>
    <n v="2018"/>
    <n v="2017"/>
    <n v="13"/>
    <x v="0"/>
    <s v="13B"/>
    <x v="13"/>
    <n v="1"/>
    <n v="7"/>
    <x v="0"/>
    <x v="0"/>
  </r>
  <r>
    <n v="17148"/>
    <n v="119825783"/>
    <s v="Recovery"/>
    <n v="200"/>
    <s v="AHY"/>
    <s v="M"/>
    <n v="11"/>
    <n v="2020"/>
    <n v="2020"/>
    <n v="16"/>
    <x v="0"/>
    <s v="16B"/>
    <x v="15"/>
    <n v="1"/>
    <n v="51"/>
    <x v="21"/>
    <x v="1"/>
  </r>
  <r>
    <n v="17151"/>
    <n v="119825786"/>
    <s v="Recovery"/>
    <n v="200"/>
    <s v="AHY"/>
    <s v="M"/>
    <n v="1"/>
    <n v="2020"/>
    <n v="2019"/>
    <n v="15"/>
    <x v="0"/>
    <s v="15B"/>
    <x v="11"/>
    <n v="1"/>
    <n v="7"/>
    <x v="0"/>
    <x v="0"/>
  </r>
  <r>
    <n v="17154"/>
    <n v="119825789"/>
    <s v="Recovery"/>
    <n v="200"/>
    <s v="AHY"/>
    <s v="F"/>
    <n v="9"/>
    <n v="2020"/>
    <n v="2020"/>
    <n v="16"/>
    <x v="0"/>
    <s v="16B"/>
    <x v="15"/>
    <n v="1"/>
    <n v="7"/>
    <x v="0"/>
    <x v="0"/>
  </r>
  <r>
    <n v="17158"/>
    <n v="119825793"/>
    <s v="Recovery"/>
    <n v="200"/>
    <s v="AHY"/>
    <s v="M"/>
    <n v="12"/>
    <n v="2018"/>
    <n v="2018"/>
    <n v="14"/>
    <x v="0"/>
    <s v="14B"/>
    <x v="10"/>
    <n v="1"/>
    <n v="7"/>
    <x v="0"/>
    <x v="0"/>
  </r>
  <r>
    <n v="17172"/>
    <n v="119825807"/>
    <s v="Recovery"/>
    <n v="200"/>
    <s v="AHY"/>
    <s v="F"/>
    <n v="1"/>
    <n v="2021"/>
    <n v="2020"/>
    <n v="16"/>
    <x v="0"/>
    <s v="16B"/>
    <x v="15"/>
    <n v="1"/>
    <n v="7"/>
    <x v="0"/>
    <x v="0"/>
  </r>
  <r>
    <n v="17173"/>
    <n v="119825808"/>
    <s v="Recovery"/>
    <n v="200"/>
    <s v="AHY"/>
    <s v="F"/>
    <n v="12"/>
    <n v="2017"/>
    <n v="2017"/>
    <n v="13"/>
    <x v="0"/>
    <s v="13B"/>
    <x v="13"/>
    <n v="1"/>
    <n v="7"/>
    <x v="0"/>
    <x v="0"/>
  </r>
  <r>
    <n v="17178"/>
    <n v="119825813"/>
    <s v="Recovery"/>
    <n v="200"/>
    <s v="AHY"/>
    <s v="F"/>
    <n v="9"/>
    <n v="2019"/>
    <n v="2019"/>
    <n v="15"/>
    <x v="0"/>
    <s v="15B"/>
    <x v="11"/>
    <n v="1"/>
    <n v="7"/>
    <x v="0"/>
    <x v="0"/>
  </r>
  <r>
    <n v="17191"/>
    <n v="119825826"/>
    <s v="Recovery"/>
    <n v="200"/>
    <s v="AHY"/>
    <s v="F"/>
    <n v="9"/>
    <n v="2017"/>
    <n v="2017"/>
    <n v="13"/>
    <x v="0"/>
    <s v="13B"/>
    <x v="13"/>
    <n v="1"/>
    <n v="7"/>
    <x v="0"/>
    <x v="0"/>
  </r>
  <r>
    <n v="17196"/>
    <n v="119825831"/>
    <s v="Recovery"/>
    <n v="200"/>
    <s v="AHY"/>
    <s v="F"/>
    <n v="9"/>
    <n v="2017"/>
    <n v="2017"/>
    <n v="13"/>
    <x v="0"/>
    <s v="13B"/>
    <x v="13"/>
    <n v="1"/>
    <n v="7"/>
    <x v="0"/>
    <x v="0"/>
  </r>
  <r>
    <n v="17198"/>
    <n v="119825833"/>
    <s v="Recovery"/>
    <n v="200"/>
    <s v="AHY"/>
    <s v="F"/>
    <n v="12"/>
    <n v="2019"/>
    <n v="2019"/>
    <n v="15"/>
    <x v="0"/>
    <s v="15B"/>
    <x v="11"/>
    <n v="1"/>
    <n v="7"/>
    <x v="0"/>
    <x v="0"/>
  </r>
  <r>
    <n v="17214"/>
    <n v="119825849"/>
    <s v="Recovery"/>
    <n v="200"/>
    <s v="AHY"/>
    <s v="F"/>
    <n v="1"/>
    <n v="2019"/>
    <n v="2018"/>
    <n v="14"/>
    <x v="0"/>
    <s v="14B"/>
    <x v="10"/>
    <n v="1"/>
    <n v="7"/>
    <x v="0"/>
    <x v="0"/>
  </r>
  <r>
    <n v="17223"/>
    <n v="119825858"/>
    <s v="Recovery"/>
    <n v="200"/>
    <s v="AHY"/>
    <s v="F"/>
    <n v="9"/>
    <n v="2017"/>
    <n v="2017"/>
    <n v="13"/>
    <x v="0"/>
    <s v="13B"/>
    <x v="13"/>
    <n v="1"/>
    <n v="7"/>
    <x v="0"/>
    <x v="0"/>
  </r>
  <r>
    <n v="17226"/>
    <n v="119825861"/>
    <s v="Recovery"/>
    <n v="200"/>
    <s v="AHY"/>
    <s v="M"/>
    <n v="9"/>
    <n v="2017"/>
    <n v="2017"/>
    <n v="13"/>
    <x v="0"/>
    <s v="13B"/>
    <x v="13"/>
    <n v="1"/>
    <n v="7"/>
    <x v="0"/>
    <x v="0"/>
  </r>
  <r>
    <n v="17229"/>
    <n v="119825864"/>
    <s v="Recovery"/>
    <n v="200"/>
    <s v="HY"/>
    <s v="M"/>
    <n v="9"/>
    <n v="2017"/>
    <n v="2017"/>
    <n v="13"/>
    <x v="0"/>
    <s v="13B"/>
    <x v="13"/>
    <n v="1"/>
    <n v="7"/>
    <x v="0"/>
    <x v="0"/>
  </r>
  <r>
    <n v="17231"/>
    <n v="119825866"/>
    <s v="Recovery"/>
    <n v="200"/>
    <s v="AHY"/>
    <s v="M"/>
    <n v="9"/>
    <n v="2018"/>
    <n v="2018"/>
    <n v="14"/>
    <x v="0"/>
    <s v="14B"/>
    <x v="10"/>
    <n v="1"/>
    <n v="7"/>
    <x v="0"/>
    <x v="0"/>
  </r>
  <r>
    <n v="17234"/>
    <n v="119825869"/>
    <s v="Recovery"/>
    <n v="200"/>
    <s v="AHY"/>
    <s v="F"/>
    <n v="1"/>
    <n v="2021"/>
    <n v="2020"/>
    <n v="16"/>
    <x v="0"/>
    <s v="16B"/>
    <x v="15"/>
    <n v="1"/>
    <n v="7"/>
    <x v="0"/>
    <x v="0"/>
  </r>
  <r>
    <n v="17246"/>
    <n v="119825881"/>
    <s v="Recovery"/>
    <n v="200"/>
    <s v="AHY"/>
    <s v="M"/>
    <n v="2"/>
    <n v="2019"/>
    <n v="2018"/>
    <n v="14"/>
    <x v="0"/>
    <s v="14B"/>
    <x v="10"/>
    <n v="1"/>
    <n v="7"/>
    <x v="0"/>
    <x v="0"/>
  </r>
  <r>
    <n v="17262"/>
    <n v="119825897"/>
    <s v="Recovery"/>
    <n v="200"/>
    <s v="AHY"/>
    <s v="F"/>
    <n v="9"/>
    <n v="2020"/>
    <n v="2020"/>
    <n v="16"/>
    <x v="0"/>
    <s v="16B"/>
    <x v="15"/>
    <n v="1"/>
    <n v="7"/>
    <x v="0"/>
    <x v="0"/>
  </r>
  <r>
    <n v="17269"/>
    <n v="119825904"/>
    <s v="Recovery"/>
    <n v="200"/>
    <s v="AHY"/>
    <s v="F"/>
    <n v="9"/>
    <n v="2017"/>
    <n v="2017"/>
    <n v="13"/>
    <x v="0"/>
    <s v="13B"/>
    <x v="13"/>
    <n v="1"/>
    <n v="7"/>
    <x v="0"/>
    <x v="0"/>
  </r>
  <r>
    <n v="17273"/>
    <n v="119825908"/>
    <s v="Recovery"/>
    <n v="200"/>
    <s v="AHY"/>
    <s v="M"/>
    <n v="9"/>
    <n v="2020"/>
    <n v="2020"/>
    <n v="16"/>
    <x v="0"/>
    <s v="16B"/>
    <x v="15"/>
    <n v="1"/>
    <n v="7"/>
    <x v="0"/>
    <x v="0"/>
  </r>
  <r>
    <n v="17276"/>
    <n v="119825911"/>
    <s v="Recovery"/>
    <n v="200"/>
    <s v="AHY"/>
    <s v="M"/>
    <n v="1"/>
    <n v="2018"/>
    <n v="2017"/>
    <n v="13"/>
    <x v="0"/>
    <s v="13B"/>
    <x v="13"/>
    <n v="1"/>
    <n v="7"/>
    <x v="0"/>
    <x v="0"/>
  </r>
  <r>
    <n v="17281"/>
    <n v="119825916"/>
    <s v="Recovery"/>
    <n v="200"/>
    <s v="AHY"/>
    <s v="M"/>
    <n v="9"/>
    <n v="2020"/>
    <n v="2020"/>
    <n v="16"/>
    <x v="0"/>
    <s v="16B"/>
    <x v="15"/>
    <n v="1"/>
    <n v="7"/>
    <x v="0"/>
    <x v="0"/>
  </r>
  <r>
    <n v="17286"/>
    <n v="119825921"/>
    <s v="Recovery"/>
    <n v="200"/>
    <s v="AHY"/>
    <s v="F"/>
    <n v="9"/>
    <n v="2017"/>
    <n v="2017"/>
    <n v="13"/>
    <x v="0"/>
    <s v="13B"/>
    <x v="13"/>
    <n v="1"/>
    <n v="7"/>
    <x v="0"/>
    <x v="0"/>
  </r>
  <r>
    <n v="17288"/>
    <n v="119825923"/>
    <s v="Recovery"/>
    <n v="200"/>
    <s v="AHY"/>
    <s v="M"/>
    <n v="1"/>
    <n v="2018"/>
    <n v="2017"/>
    <n v="13"/>
    <x v="0"/>
    <s v="13B"/>
    <x v="13"/>
    <n v="1"/>
    <n v="7"/>
    <x v="0"/>
    <x v="0"/>
  </r>
  <r>
    <n v="17293"/>
    <n v="119825928"/>
    <s v="Recovery"/>
    <n v="200"/>
    <s v="AHY"/>
    <s v="F"/>
    <n v="9"/>
    <n v="2018"/>
    <n v="2018"/>
    <n v="14"/>
    <x v="0"/>
    <s v="14B"/>
    <x v="10"/>
    <n v="1"/>
    <n v="7"/>
    <x v="0"/>
    <x v="0"/>
  </r>
  <r>
    <n v="17295"/>
    <n v="119825930"/>
    <s v="Recovery"/>
    <n v="200"/>
    <s v="AHY"/>
    <s v="F"/>
    <n v="11"/>
    <n v="2017"/>
    <n v="2017"/>
    <n v="13"/>
    <x v="0"/>
    <s v="13B"/>
    <x v="13"/>
    <n v="1"/>
    <n v="7"/>
    <x v="0"/>
    <x v="0"/>
  </r>
  <r>
    <n v="17296"/>
    <n v="119825931"/>
    <s v="Recovery"/>
    <n v="200"/>
    <s v="AHY"/>
    <s v="M"/>
    <n v="12"/>
    <n v="2017"/>
    <n v="2017"/>
    <n v="13"/>
    <x v="0"/>
    <s v="13B"/>
    <x v="13"/>
    <n v="1"/>
    <n v="7"/>
    <x v="0"/>
    <x v="0"/>
  </r>
  <r>
    <n v="17298"/>
    <n v="119825933"/>
    <s v="Recovery"/>
    <n v="200"/>
    <s v="AHY"/>
    <s v="F"/>
    <n v="12"/>
    <n v="2017"/>
    <n v="2017"/>
    <n v="13"/>
    <x v="0"/>
    <s v="13B"/>
    <x v="13"/>
    <n v="1"/>
    <n v="7"/>
    <x v="0"/>
    <x v="0"/>
  </r>
  <r>
    <n v="17304"/>
    <n v="119825939"/>
    <s v="Recovery"/>
    <n v="200"/>
    <s v="AHY"/>
    <s v="F"/>
    <n v="9"/>
    <n v="2017"/>
    <n v="2017"/>
    <n v="13"/>
    <x v="0"/>
    <s v="13B"/>
    <x v="13"/>
    <n v="1"/>
    <n v="7"/>
    <x v="0"/>
    <x v="0"/>
  </r>
  <r>
    <n v="17311"/>
    <n v="119825946"/>
    <s v="Recovery"/>
    <n v="200"/>
    <s v="AHY"/>
    <s v="F"/>
    <n v="1"/>
    <n v="2020"/>
    <n v="2019"/>
    <n v="15"/>
    <x v="0"/>
    <s v="15B"/>
    <x v="11"/>
    <n v="1"/>
    <n v="7"/>
    <x v="0"/>
    <x v="0"/>
  </r>
  <r>
    <n v="17312"/>
    <n v="119825947"/>
    <s v="Recovery"/>
    <n v="200"/>
    <s v="AHY"/>
    <s v="M"/>
    <n v="9"/>
    <n v="2020"/>
    <n v="2020"/>
    <n v="16"/>
    <x v="0"/>
    <s v="16B"/>
    <x v="15"/>
    <n v="1"/>
    <n v="7"/>
    <x v="0"/>
    <x v="0"/>
  </r>
  <r>
    <n v="17319"/>
    <n v="119825954"/>
    <s v="Recovery"/>
    <n v="200"/>
    <s v="AHY"/>
    <s v="M"/>
    <n v="1"/>
    <n v="2020"/>
    <n v="2019"/>
    <n v="15"/>
    <x v="0"/>
    <s v="15B"/>
    <x v="11"/>
    <n v="1"/>
    <n v="7"/>
    <x v="0"/>
    <x v="0"/>
  </r>
  <r>
    <n v="17323"/>
    <n v="119825958"/>
    <s v="Recovery"/>
    <n v="200"/>
    <s v="AHY"/>
    <s v="M"/>
    <n v="9"/>
    <n v="2017"/>
    <n v="2017"/>
    <n v="13"/>
    <x v="0"/>
    <s v="13B"/>
    <x v="13"/>
    <n v="1"/>
    <n v="7"/>
    <x v="0"/>
    <x v="0"/>
  </r>
  <r>
    <n v="17328"/>
    <n v="119825963"/>
    <s v="Recovery"/>
    <n v="200"/>
    <s v="AHY"/>
    <s v="F"/>
    <n v="9"/>
    <n v="2019"/>
    <n v="2019"/>
    <n v="15"/>
    <x v="0"/>
    <s v="15B"/>
    <x v="11"/>
    <n v="1"/>
    <n v="7"/>
    <x v="0"/>
    <x v="0"/>
  </r>
  <r>
    <n v="17339"/>
    <n v="119825974"/>
    <s v="Recovery"/>
    <n v="200"/>
    <s v="AHY"/>
    <s v="M"/>
    <n v="1"/>
    <n v="2019"/>
    <n v="2018"/>
    <n v="14"/>
    <x v="0"/>
    <s v="14B"/>
    <x v="10"/>
    <n v="1"/>
    <n v="7"/>
    <x v="0"/>
    <x v="0"/>
  </r>
  <r>
    <n v="17342"/>
    <n v="119825977"/>
    <s v="Recovery"/>
    <n v="200"/>
    <s v="AHY"/>
    <s v="F"/>
    <n v="1"/>
    <n v="2020"/>
    <n v="2019"/>
    <n v="15"/>
    <x v="0"/>
    <s v="15B"/>
    <x v="11"/>
    <n v="1"/>
    <n v="7"/>
    <x v="0"/>
    <x v="0"/>
  </r>
  <r>
    <n v="17347"/>
    <n v="119825982"/>
    <s v="Recovery"/>
    <n v="200"/>
    <s v="AHY"/>
    <s v="M"/>
    <n v="1"/>
    <n v="2020"/>
    <n v="2019"/>
    <n v="15"/>
    <x v="0"/>
    <s v="15B"/>
    <x v="11"/>
    <n v="1"/>
    <n v="7"/>
    <x v="0"/>
    <x v="0"/>
  </r>
  <r>
    <n v="17350"/>
    <n v="119825985"/>
    <s v="Recovery"/>
    <n v="200"/>
    <s v="AHY"/>
    <s v="M"/>
    <n v="9"/>
    <n v="2019"/>
    <n v="2019"/>
    <n v="15"/>
    <x v="0"/>
    <s v="15B"/>
    <x v="11"/>
    <n v="1"/>
    <n v="67"/>
    <x v="2"/>
    <x v="1"/>
  </r>
  <r>
    <n v="17358"/>
    <n v="119825993"/>
    <s v="Recovery"/>
    <n v="200"/>
    <s v="AHY"/>
    <s v="M"/>
    <n v="11"/>
    <n v="2018"/>
    <n v="2018"/>
    <n v="14"/>
    <x v="0"/>
    <s v="14B"/>
    <x v="10"/>
    <n v="1"/>
    <n v="7"/>
    <x v="0"/>
    <x v="0"/>
  </r>
  <r>
    <n v="17361"/>
    <n v="119825996"/>
    <s v="Recovery"/>
    <n v="200"/>
    <s v="AHY"/>
    <s v="M"/>
    <n v="1"/>
    <n v="2021"/>
    <n v="2020"/>
    <n v="16"/>
    <x v="0"/>
    <s v="16B"/>
    <x v="15"/>
    <n v="1"/>
    <n v="7"/>
    <x v="0"/>
    <x v="0"/>
  </r>
  <r>
    <n v="17363"/>
    <n v="119825998"/>
    <s v="Recovery"/>
    <n v="200"/>
    <s v="AHY"/>
    <s v="F"/>
    <n v="9"/>
    <n v="2018"/>
    <n v="2018"/>
    <n v="14"/>
    <x v="0"/>
    <s v="14B"/>
    <x v="10"/>
    <n v="1"/>
    <n v="7"/>
    <x v="0"/>
    <x v="0"/>
  </r>
  <r>
    <n v="17371"/>
    <n v="119826006"/>
    <s v="Recovery"/>
    <n v="200"/>
    <s v="AHY"/>
    <s v="M"/>
    <n v="12"/>
    <n v="2017"/>
    <n v="2017"/>
    <n v="13"/>
    <x v="0"/>
    <s v="13B"/>
    <x v="13"/>
    <n v="1"/>
    <n v="7"/>
    <x v="0"/>
    <x v="0"/>
  </r>
  <r>
    <n v="17385"/>
    <n v="119826020"/>
    <s v="Recovery"/>
    <n v="200"/>
    <s v="AHY"/>
    <s v="M"/>
    <n v="1"/>
    <n v="2018"/>
    <n v="2017"/>
    <n v="13"/>
    <x v="0"/>
    <s v="13B"/>
    <x v="13"/>
    <n v="1"/>
    <n v="7"/>
    <x v="0"/>
    <x v="0"/>
  </r>
  <r>
    <n v="17391"/>
    <n v="119826026"/>
    <s v="Recovery"/>
    <n v="200"/>
    <s v="AHY"/>
    <s v="M"/>
    <n v="9"/>
    <n v="2018"/>
    <n v="2018"/>
    <n v="14"/>
    <x v="0"/>
    <s v="14B"/>
    <x v="10"/>
    <n v="1"/>
    <n v="7"/>
    <x v="0"/>
    <x v="0"/>
  </r>
  <r>
    <n v="17392"/>
    <n v="119826027"/>
    <s v="Recovery"/>
    <n v="200"/>
    <s v="AHY"/>
    <s v="M"/>
    <n v="1"/>
    <n v="2019"/>
    <n v="2018"/>
    <n v="14"/>
    <x v="0"/>
    <s v="14B"/>
    <x v="10"/>
    <n v="1"/>
    <n v="7"/>
    <x v="0"/>
    <x v="0"/>
  </r>
  <r>
    <n v="17394"/>
    <n v="119826029"/>
    <s v="Recovery"/>
    <n v="200"/>
    <s v="AHY"/>
    <s v="M"/>
    <n v="9"/>
    <n v="2018"/>
    <n v="2018"/>
    <n v="14"/>
    <x v="0"/>
    <s v="14B"/>
    <x v="10"/>
    <n v="1"/>
    <n v="7"/>
    <x v="0"/>
    <x v="0"/>
  </r>
  <r>
    <n v="17395"/>
    <n v="119826030"/>
    <s v="Recovery"/>
    <n v="200"/>
    <s v="AHY"/>
    <s v="M"/>
    <n v="9"/>
    <n v="2017"/>
    <n v="2017"/>
    <n v="13"/>
    <x v="0"/>
    <s v="13B"/>
    <x v="13"/>
    <n v="1"/>
    <n v="7"/>
    <x v="0"/>
    <x v="0"/>
  </r>
  <r>
    <n v="17397"/>
    <n v="119826032"/>
    <s v="Recovery"/>
    <n v="200"/>
    <s v="AHY"/>
    <s v="F"/>
    <n v="1"/>
    <n v="2021"/>
    <n v="2020"/>
    <n v="16"/>
    <x v="0"/>
    <s v="16B"/>
    <x v="15"/>
    <n v="1"/>
    <n v="7"/>
    <x v="0"/>
    <x v="0"/>
  </r>
  <r>
    <n v="17402"/>
    <n v="119826037"/>
    <s v="Recovery"/>
    <n v="200"/>
    <s v="AHY"/>
    <s v="F"/>
    <n v="9"/>
    <n v="2017"/>
    <n v="2017"/>
    <n v="13"/>
    <x v="0"/>
    <s v="13B"/>
    <x v="13"/>
    <n v="1"/>
    <n v="7"/>
    <x v="0"/>
    <x v="0"/>
  </r>
  <r>
    <n v="17408"/>
    <n v="119826043"/>
    <s v="Recovery"/>
    <n v="200"/>
    <s v="AHY"/>
    <s v="M"/>
    <n v="1"/>
    <n v="2018"/>
    <n v="2017"/>
    <n v="13"/>
    <x v="0"/>
    <s v="13B"/>
    <x v="13"/>
    <n v="1"/>
    <n v="7"/>
    <x v="0"/>
    <x v="0"/>
  </r>
  <r>
    <n v="17418"/>
    <n v="119826053"/>
    <s v="Recovery"/>
    <n v="200"/>
    <s v="AHY"/>
    <s v="F"/>
    <n v="9"/>
    <n v="2017"/>
    <n v="2017"/>
    <n v="13"/>
    <x v="0"/>
    <s v="13B"/>
    <x v="13"/>
    <n v="1"/>
    <n v="7"/>
    <x v="0"/>
    <x v="0"/>
  </r>
  <r>
    <n v="17419"/>
    <n v="119826054"/>
    <s v="Recovery"/>
    <n v="200"/>
    <s v="AHY"/>
    <s v="F"/>
    <n v="1"/>
    <n v="2020"/>
    <n v="2019"/>
    <n v="15"/>
    <x v="0"/>
    <s v="15B"/>
    <x v="11"/>
    <n v="1"/>
    <n v="7"/>
    <x v="0"/>
    <x v="0"/>
  </r>
  <r>
    <n v="17426"/>
    <n v="119826061"/>
    <s v="Recovery"/>
    <n v="200"/>
    <s v="AHY"/>
    <s v="F"/>
    <n v="9"/>
    <n v="2019"/>
    <n v="2019"/>
    <n v="15"/>
    <x v="0"/>
    <s v="15B"/>
    <x v="11"/>
    <n v="1"/>
    <n v="7"/>
    <x v="0"/>
    <x v="0"/>
  </r>
  <r>
    <n v="17428"/>
    <n v="119826063"/>
    <s v="Recovery"/>
    <n v="200"/>
    <s v="AHY"/>
    <s v="F"/>
    <n v="1"/>
    <n v="2020"/>
    <n v="2019"/>
    <n v="15"/>
    <x v="0"/>
    <s v="15B"/>
    <x v="11"/>
    <n v="1"/>
    <n v="7"/>
    <x v="0"/>
    <x v="0"/>
  </r>
  <r>
    <n v="17435"/>
    <n v="119826070"/>
    <s v="Recovery"/>
    <n v="200"/>
    <s v="AHY"/>
    <s v="F"/>
    <n v="12"/>
    <n v="2017"/>
    <n v="2017"/>
    <n v="13"/>
    <x v="0"/>
    <s v="13B"/>
    <x v="13"/>
    <n v="1"/>
    <n v="7"/>
    <x v="0"/>
    <x v="0"/>
  </r>
  <r>
    <n v="17436"/>
    <n v="119826071"/>
    <s v="Recovery"/>
    <n v="200"/>
    <s v="AHY"/>
    <s v="M"/>
    <n v="1"/>
    <n v="2018"/>
    <n v="2017"/>
    <n v="13"/>
    <x v="0"/>
    <s v="13B"/>
    <x v="13"/>
    <n v="1"/>
    <n v="7"/>
    <x v="0"/>
    <x v="0"/>
  </r>
  <r>
    <n v="17444"/>
    <n v="119826079"/>
    <s v="Recovery"/>
    <n v="200"/>
    <s v="AHY"/>
    <s v="M"/>
    <n v="12"/>
    <n v="2017"/>
    <n v="2017"/>
    <n v="13"/>
    <x v="0"/>
    <s v="13B"/>
    <x v="13"/>
    <n v="1"/>
    <n v="7"/>
    <x v="0"/>
    <x v="0"/>
  </r>
  <r>
    <n v="17445"/>
    <n v="119826080"/>
    <s v="Recovery"/>
    <n v="200"/>
    <s v="AHY"/>
    <s v="M"/>
    <n v="1"/>
    <n v="2021"/>
    <n v="2020"/>
    <n v="16"/>
    <x v="0"/>
    <s v="16B"/>
    <x v="15"/>
    <n v="1"/>
    <n v="7"/>
    <x v="0"/>
    <x v="0"/>
  </r>
  <r>
    <n v="17461"/>
    <n v="119826096"/>
    <s v="Recovery"/>
    <n v="200"/>
    <s v="AHY"/>
    <s v="F"/>
    <n v="9"/>
    <n v="2017"/>
    <n v="2017"/>
    <n v="13"/>
    <x v="0"/>
    <s v="13B"/>
    <x v="13"/>
    <n v="1"/>
    <n v="7"/>
    <x v="0"/>
    <x v="0"/>
  </r>
  <r>
    <n v="17464"/>
    <n v="119826099"/>
    <s v="Recovery"/>
    <n v="200"/>
    <s v="AHY"/>
    <s v="M"/>
    <n v="9"/>
    <n v="2017"/>
    <n v="2017"/>
    <n v="13"/>
    <x v="0"/>
    <s v="13B"/>
    <x v="13"/>
    <n v="1"/>
    <n v="7"/>
    <x v="0"/>
    <x v="0"/>
  </r>
  <r>
    <n v="17478"/>
    <n v="119826113"/>
    <s v="Recovery"/>
    <n v="200"/>
    <s v="AHY"/>
    <s v="F"/>
    <n v="1"/>
    <n v="2018"/>
    <n v="2017"/>
    <n v="13"/>
    <x v="0"/>
    <s v="13B"/>
    <x v="13"/>
    <n v="1"/>
    <n v="7"/>
    <x v="0"/>
    <x v="0"/>
  </r>
  <r>
    <n v="17483"/>
    <n v="119826118"/>
    <s v="Recovery"/>
    <n v="200"/>
    <s v="AHY"/>
    <s v="F"/>
    <n v="9"/>
    <n v="2018"/>
    <n v="2018"/>
    <n v="14"/>
    <x v="0"/>
    <s v="14B"/>
    <x v="10"/>
    <n v="1"/>
    <n v="7"/>
    <x v="0"/>
    <x v="0"/>
  </r>
  <r>
    <n v="17486"/>
    <n v="119826121"/>
    <s v="Recovery"/>
    <n v="200"/>
    <s v="AHY"/>
    <s v="F"/>
    <n v="1"/>
    <n v="2018"/>
    <n v="2017"/>
    <n v="13"/>
    <x v="0"/>
    <s v="13B"/>
    <x v="13"/>
    <n v="1"/>
    <n v="7"/>
    <x v="0"/>
    <x v="0"/>
  </r>
  <r>
    <n v="17504"/>
    <n v="119826139"/>
    <s v="Recovery"/>
    <n v="200"/>
    <s v="AHY"/>
    <s v="F"/>
    <n v="9"/>
    <n v="2017"/>
    <n v="2017"/>
    <n v="13"/>
    <x v="0"/>
    <s v="13B"/>
    <x v="13"/>
    <n v="1"/>
    <n v="7"/>
    <x v="0"/>
    <x v="0"/>
  </r>
  <r>
    <n v="17509"/>
    <n v="119826144"/>
    <s v="Recovery"/>
    <n v="200"/>
    <s v="AHY"/>
    <s v="M"/>
    <n v="9"/>
    <n v="2019"/>
    <n v="2019"/>
    <n v="15"/>
    <x v="0"/>
    <s v="15B"/>
    <x v="11"/>
    <n v="1"/>
    <n v="7"/>
    <x v="0"/>
    <x v="0"/>
  </r>
  <r>
    <n v="17510"/>
    <n v="119826145"/>
    <s v="Recovery"/>
    <n v="200"/>
    <s v="AHY"/>
    <s v="F"/>
    <n v="9"/>
    <n v="2018"/>
    <n v="2018"/>
    <n v="14"/>
    <x v="0"/>
    <s v="14B"/>
    <x v="10"/>
    <n v="1"/>
    <n v="7"/>
    <x v="0"/>
    <x v="0"/>
  </r>
  <r>
    <n v="17515"/>
    <n v="119826150"/>
    <s v="Recovery"/>
    <n v="200"/>
    <s v="AHY"/>
    <s v="F"/>
    <n v="9"/>
    <n v="2019"/>
    <n v="2019"/>
    <n v="15"/>
    <x v="0"/>
    <s v="15B"/>
    <x v="11"/>
    <n v="1"/>
    <n v="7"/>
    <x v="0"/>
    <x v="0"/>
  </r>
  <r>
    <n v="17525"/>
    <n v="119826160"/>
    <s v="Recovery"/>
    <n v="200"/>
    <s v="AHY"/>
    <s v="F"/>
    <n v="2"/>
    <n v="2018"/>
    <n v="2017"/>
    <n v="13"/>
    <x v="0"/>
    <s v="13B"/>
    <x v="13"/>
    <n v="1"/>
    <n v="7"/>
    <x v="0"/>
    <x v="0"/>
  </r>
  <r>
    <n v="17529"/>
    <n v="119826164"/>
    <s v="Recovery"/>
    <n v="200"/>
    <s v="AHY"/>
    <s v="F"/>
    <n v="1"/>
    <n v="2018"/>
    <n v="2017"/>
    <n v="13"/>
    <x v="0"/>
    <s v="13B"/>
    <x v="13"/>
    <n v="1"/>
    <n v="7"/>
    <x v="0"/>
    <x v="0"/>
  </r>
  <r>
    <n v="17536"/>
    <n v="119826171"/>
    <s v="Recovery"/>
    <n v="200"/>
    <s v="AHY"/>
    <s v="F"/>
    <n v="12"/>
    <n v="2019"/>
    <n v="2019"/>
    <n v="15"/>
    <x v="0"/>
    <s v="15B"/>
    <x v="11"/>
    <n v="1"/>
    <n v="7"/>
    <x v="0"/>
    <x v="0"/>
  </r>
  <r>
    <n v="17542"/>
    <n v="119826177"/>
    <s v="Recovery"/>
    <n v="200"/>
    <s v="AHY"/>
    <s v="M"/>
    <n v="1"/>
    <n v="2018"/>
    <n v="2017"/>
    <n v="13"/>
    <x v="0"/>
    <s v="13B"/>
    <x v="13"/>
    <n v="1"/>
    <n v="7"/>
    <x v="0"/>
    <x v="0"/>
  </r>
  <r>
    <n v="17548"/>
    <n v="119826183"/>
    <s v="Recovery"/>
    <n v="200"/>
    <s v="AHY"/>
    <s v="F"/>
    <n v="9"/>
    <n v="2019"/>
    <n v="2019"/>
    <n v="15"/>
    <x v="0"/>
    <s v="15B"/>
    <x v="11"/>
    <n v="1"/>
    <n v="7"/>
    <x v="0"/>
    <x v="0"/>
  </r>
  <r>
    <n v="17550"/>
    <n v="119826185"/>
    <s v="Recovery"/>
    <n v="200"/>
    <s v="AHY"/>
    <s v="M"/>
    <n v="1"/>
    <n v="2020"/>
    <n v="2019"/>
    <n v="15"/>
    <x v="0"/>
    <s v="15B"/>
    <x v="11"/>
    <n v="1"/>
    <n v="7"/>
    <x v="0"/>
    <x v="0"/>
  </r>
  <r>
    <n v="17553"/>
    <n v="119826188"/>
    <s v="Recovery"/>
    <n v="200"/>
    <s v="AHY"/>
    <s v="M"/>
    <n v="9"/>
    <n v="2018"/>
    <n v="2018"/>
    <n v="14"/>
    <x v="0"/>
    <s v="14B"/>
    <x v="10"/>
    <n v="1"/>
    <n v="7"/>
    <x v="0"/>
    <x v="0"/>
  </r>
  <r>
    <n v="17560"/>
    <n v="119826195"/>
    <s v="Recovery"/>
    <n v="200"/>
    <s v="AHY"/>
    <s v="M"/>
    <n v="9"/>
    <n v="2020"/>
    <n v="2020"/>
    <n v="16"/>
    <x v="0"/>
    <s v="16B"/>
    <x v="15"/>
    <n v="1"/>
    <n v="7"/>
    <x v="0"/>
    <x v="0"/>
  </r>
  <r>
    <n v="17600"/>
    <n v="119826235"/>
    <s v="Recovery"/>
    <n v="200"/>
    <s v="AHY"/>
    <s v="M"/>
    <n v="1"/>
    <n v="2020"/>
    <n v="2019"/>
    <n v="15"/>
    <x v="0"/>
    <s v="15B"/>
    <x v="11"/>
    <n v="1"/>
    <n v="7"/>
    <x v="0"/>
    <x v="0"/>
  </r>
  <r>
    <n v="17628"/>
    <n v="119826263"/>
    <s v="Recovery"/>
    <n v="200"/>
    <s v="AHY"/>
    <s v="F"/>
    <n v="9"/>
    <n v="2020"/>
    <n v="2020"/>
    <n v="16"/>
    <x v="0"/>
    <s v="16B"/>
    <x v="15"/>
    <n v="1"/>
    <n v="7"/>
    <x v="0"/>
    <x v="0"/>
  </r>
  <r>
    <n v="17639"/>
    <n v="119826274"/>
    <s v="Recovery"/>
    <n v="200"/>
    <s v="AHY"/>
    <s v="M"/>
    <n v="9"/>
    <n v="2019"/>
    <n v="2019"/>
    <n v="15"/>
    <x v="0"/>
    <s v="15B"/>
    <x v="11"/>
    <n v="1"/>
    <n v="7"/>
    <x v="0"/>
    <x v="0"/>
  </r>
  <r>
    <n v="17656"/>
    <n v="119826291"/>
    <s v="Recovery"/>
    <n v="200"/>
    <s v="AHY"/>
    <s v="F"/>
    <n v="12"/>
    <n v="2017"/>
    <n v="2017"/>
    <n v="13"/>
    <x v="0"/>
    <s v="13B"/>
    <x v="13"/>
    <n v="1"/>
    <n v="7"/>
    <x v="0"/>
    <x v="0"/>
  </r>
  <r>
    <n v="17667"/>
    <n v="120843002"/>
    <s v="Recovery"/>
    <n v="200"/>
    <s v="AHY"/>
    <s v="F"/>
    <n v="11"/>
    <n v="2019"/>
    <n v="2019"/>
    <n v="15"/>
    <x v="0"/>
    <s v="15B"/>
    <x v="11"/>
    <n v="1"/>
    <n v="7"/>
    <x v="0"/>
    <x v="0"/>
  </r>
  <r>
    <n v="17668"/>
    <n v="120843003"/>
    <s v="Recovery"/>
    <n v="200"/>
    <s v="AHY"/>
    <s v="M"/>
    <n v="12"/>
    <n v="2019"/>
    <n v="2019"/>
    <n v="15"/>
    <x v="0"/>
    <s v="15B"/>
    <x v="11"/>
    <n v="1"/>
    <n v="7"/>
    <x v="0"/>
    <x v="0"/>
  </r>
  <r>
    <n v="17670"/>
    <n v="120843005"/>
    <s v="Recovery"/>
    <n v="200"/>
    <s v="AHY"/>
    <s v="F"/>
    <n v="12"/>
    <n v="2018"/>
    <n v="2018"/>
    <n v="14"/>
    <x v="0"/>
    <s v="14B"/>
    <x v="10"/>
    <n v="1"/>
    <n v="7"/>
    <x v="0"/>
    <x v="0"/>
  </r>
  <r>
    <n v="17671"/>
    <n v="120843006"/>
    <s v="Recovery"/>
    <n v="200"/>
    <s v="AHY"/>
    <s v="F"/>
    <n v="12"/>
    <n v="2018"/>
    <n v="2018"/>
    <n v="14"/>
    <x v="0"/>
    <s v="14B"/>
    <x v="10"/>
    <n v="1"/>
    <n v="7"/>
    <x v="0"/>
    <x v="0"/>
  </r>
  <r>
    <n v="17672"/>
    <n v="120843007"/>
    <s v="Recovery"/>
    <n v="200"/>
    <s v="AHY"/>
    <s v="M"/>
    <n v="9"/>
    <n v="2018"/>
    <n v="2018"/>
    <n v="14"/>
    <x v="0"/>
    <s v="14B"/>
    <x v="10"/>
    <n v="1"/>
    <n v="7"/>
    <x v="0"/>
    <x v="0"/>
  </r>
  <r>
    <n v="17673"/>
    <n v="120843008"/>
    <s v="Recovery"/>
    <n v="200"/>
    <s v="AHY"/>
    <s v="M"/>
    <n v="1"/>
    <n v="2020"/>
    <n v="2019"/>
    <n v="15"/>
    <x v="0"/>
    <s v="15B"/>
    <x v="11"/>
    <n v="1"/>
    <n v="7"/>
    <x v="0"/>
    <x v="0"/>
  </r>
  <r>
    <n v="17675"/>
    <n v="120843010"/>
    <s v="Recovery"/>
    <n v="200"/>
    <s v="AHY"/>
    <s v="M"/>
    <n v="12"/>
    <n v="2018"/>
    <n v="2018"/>
    <n v="14"/>
    <x v="0"/>
    <s v="14B"/>
    <x v="10"/>
    <n v="1"/>
    <n v="7"/>
    <x v="0"/>
    <x v="0"/>
  </r>
  <r>
    <n v="17678"/>
    <n v="120843013"/>
    <s v="Recovery"/>
    <n v="200"/>
    <s v="AHY"/>
    <s v="F"/>
    <n v="1"/>
    <n v="2019"/>
    <n v="2018"/>
    <n v="14"/>
    <x v="0"/>
    <s v="14B"/>
    <x v="10"/>
    <n v="1"/>
    <n v="7"/>
    <x v="0"/>
    <x v="0"/>
  </r>
  <r>
    <n v="17681"/>
    <n v="120843016"/>
    <s v="Recovery"/>
    <n v="200"/>
    <s v="AHY"/>
    <s v="M"/>
    <n v="1"/>
    <n v="2019"/>
    <n v="2018"/>
    <n v="14"/>
    <x v="0"/>
    <s v="14B"/>
    <x v="10"/>
    <n v="1"/>
    <n v="7"/>
    <x v="0"/>
    <x v="0"/>
  </r>
  <r>
    <n v="17682"/>
    <n v="120843017"/>
    <s v="Recovery"/>
    <n v="200"/>
    <s v="AHY"/>
    <s v="F"/>
    <n v="10"/>
    <n v="2018"/>
    <n v="2018"/>
    <n v="14"/>
    <x v="0"/>
    <s v="14B"/>
    <x v="10"/>
    <n v="1"/>
    <n v="7"/>
    <x v="0"/>
    <x v="0"/>
  </r>
  <r>
    <n v="17687"/>
    <n v="120843022"/>
    <s v="Recovery"/>
    <n v="200"/>
    <s v="AHY"/>
    <s v="M"/>
    <n v="11"/>
    <n v="2019"/>
    <n v="2019"/>
    <n v="15"/>
    <x v="0"/>
    <s v="15B"/>
    <x v="11"/>
    <n v="1"/>
    <n v="7"/>
    <x v="0"/>
    <x v="0"/>
  </r>
  <r>
    <n v="17690"/>
    <n v="120843025"/>
    <s v="Recovery"/>
    <n v="200"/>
    <s v="AHY"/>
    <s v="F"/>
    <n v="1"/>
    <n v="2019"/>
    <n v="2018"/>
    <n v="14"/>
    <x v="0"/>
    <s v="14B"/>
    <x v="10"/>
    <n v="1"/>
    <n v="7"/>
    <x v="0"/>
    <x v="0"/>
  </r>
  <r>
    <n v="17693"/>
    <n v="120843028"/>
    <s v="Recovery"/>
    <n v="200"/>
    <s v="AHY"/>
    <s v="M"/>
    <n v="1"/>
    <n v="2021"/>
    <n v="2020"/>
    <n v="16"/>
    <x v="0"/>
    <s v="16B"/>
    <x v="15"/>
    <n v="1"/>
    <n v="7"/>
    <x v="0"/>
    <x v="0"/>
  </r>
  <r>
    <n v="17719"/>
    <n v="120843054"/>
    <s v="Recovery"/>
    <n v="200"/>
    <s v="AHY"/>
    <s v="F"/>
    <n v="9"/>
    <n v="2020"/>
    <n v="2020"/>
    <n v="16"/>
    <x v="0"/>
    <s v="16B"/>
    <x v="15"/>
    <n v="1"/>
    <n v="7"/>
    <x v="0"/>
    <x v="0"/>
  </r>
  <r>
    <n v="17750"/>
    <n v="120843085"/>
    <s v="Recovery"/>
    <n v="200"/>
    <s v="AHY"/>
    <s v="F"/>
    <n v="1"/>
    <n v="2021"/>
    <n v="2020"/>
    <n v="16"/>
    <x v="0"/>
    <s v="16B"/>
    <x v="15"/>
    <n v="1"/>
    <n v="7"/>
    <x v="0"/>
    <x v="0"/>
  </r>
  <r>
    <n v="17767"/>
    <n v="120843102"/>
    <s v="Recovery"/>
    <n v="200"/>
    <s v="AHY"/>
    <s v="F"/>
    <n v="12"/>
    <n v="2018"/>
    <n v="2018"/>
    <n v="14"/>
    <x v="0"/>
    <s v="14B"/>
    <x v="10"/>
    <n v="1"/>
    <n v="7"/>
    <x v="0"/>
    <x v="0"/>
  </r>
  <r>
    <n v="17784"/>
    <n v="120843119"/>
    <s v="Recovery"/>
    <n v="200"/>
    <s v="AHY"/>
    <s v="F"/>
    <n v="1"/>
    <n v="2020"/>
    <n v="2019"/>
    <n v="15"/>
    <x v="0"/>
    <s v="15B"/>
    <x v="11"/>
    <n v="1"/>
    <n v="7"/>
    <x v="0"/>
    <x v="0"/>
  </r>
  <r>
    <n v="17789"/>
    <n v="120843124"/>
    <s v="Recovery"/>
    <n v="200"/>
    <s v="AHY"/>
    <s v="F"/>
    <n v="1"/>
    <n v="2019"/>
    <n v="2018"/>
    <n v="14"/>
    <x v="0"/>
    <s v="14B"/>
    <x v="10"/>
    <n v="1"/>
    <n v="7"/>
    <x v="0"/>
    <x v="0"/>
  </r>
  <r>
    <n v="17802"/>
    <n v="120843137"/>
    <s v="Recovery"/>
    <n v="200"/>
    <s v="AHY"/>
    <s v="F"/>
    <n v="9"/>
    <n v="2019"/>
    <n v="2019"/>
    <n v="15"/>
    <x v="0"/>
    <s v="15B"/>
    <x v="11"/>
    <n v="1"/>
    <n v="7"/>
    <x v="0"/>
    <x v="0"/>
  </r>
  <r>
    <n v="17808"/>
    <n v="120843143"/>
    <s v="Recovery"/>
    <n v="200"/>
    <s v="AHY"/>
    <s v="F"/>
    <n v="1"/>
    <n v="2020"/>
    <n v="2019"/>
    <n v="15"/>
    <x v="0"/>
    <s v="15B"/>
    <x v="11"/>
    <n v="1"/>
    <n v="7"/>
    <x v="0"/>
    <x v="0"/>
  </r>
  <r>
    <n v="17814"/>
    <n v="120843149"/>
    <s v="Recovery"/>
    <n v="200"/>
    <s v="AHY"/>
    <s v="M"/>
    <n v="12"/>
    <n v="2020"/>
    <n v="2020"/>
    <n v="16"/>
    <x v="0"/>
    <s v="16B"/>
    <x v="15"/>
    <n v="1"/>
    <n v="7"/>
    <x v="0"/>
    <x v="0"/>
  </r>
  <r>
    <n v="17815"/>
    <n v="120843150"/>
    <s v="Recovery"/>
    <n v="200"/>
    <s v="AHY"/>
    <s v="F"/>
    <n v="1"/>
    <n v="2020"/>
    <n v="2019"/>
    <n v="15"/>
    <x v="0"/>
    <s v="15B"/>
    <x v="11"/>
    <n v="1"/>
    <n v="7"/>
    <x v="0"/>
    <x v="0"/>
  </r>
  <r>
    <n v="17816"/>
    <n v="120843151"/>
    <s v="Recovery"/>
    <n v="200"/>
    <s v="AHY"/>
    <s v="M"/>
    <n v="12"/>
    <n v="2018"/>
    <n v="2018"/>
    <n v="14"/>
    <x v="0"/>
    <s v="14B"/>
    <x v="10"/>
    <n v="1"/>
    <n v="7"/>
    <x v="0"/>
    <x v="0"/>
  </r>
  <r>
    <n v="17821"/>
    <n v="120843156"/>
    <s v="Recovery"/>
    <n v="200"/>
    <s v="AHY"/>
    <s v="M"/>
    <n v="1"/>
    <n v="2020"/>
    <n v="2019"/>
    <n v="15"/>
    <x v="0"/>
    <s v="15B"/>
    <x v="11"/>
    <n v="1"/>
    <n v="7"/>
    <x v="0"/>
    <x v="0"/>
  </r>
  <r>
    <n v="17824"/>
    <n v="120843159"/>
    <s v="Recovery"/>
    <n v="200"/>
    <s v="AHY"/>
    <s v="M"/>
    <n v="9"/>
    <n v="2019"/>
    <n v="2019"/>
    <n v="15"/>
    <x v="0"/>
    <s v="15B"/>
    <x v="11"/>
    <n v="1"/>
    <n v="7"/>
    <x v="0"/>
    <x v="0"/>
  </r>
  <r>
    <n v="17825"/>
    <n v="120843160"/>
    <s v="Recovery"/>
    <n v="200"/>
    <s v="AHY"/>
    <s v="M"/>
    <n v="1"/>
    <n v="2021"/>
    <n v="2020"/>
    <n v="16"/>
    <x v="0"/>
    <s v="16B"/>
    <x v="15"/>
    <n v="1"/>
    <n v="7"/>
    <x v="0"/>
    <x v="0"/>
  </r>
  <r>
    <n v="17826"/>
    <n v="120843161"/>
    <s v="Recovery"/>
    <n v="200"/>
    <s v="AHY"/>
    <s v="F"/>
    <n v="9"/>
    <n v="2019"/>
    <n v="2019"/>
    <n v="15"/>
    <x v="0"/>
    <s v="15B"/>
    <x v="11"/>
    <n v="1"/>
    <n v="7"/>
    <x v="0"/>
    <x v="0"/>
  </r>
  <r>
    <n v="17827"/>
    <n v="120843162"/>
    <s v="Recovery"/>
    <n v="200"/>
    <s v="AHY"/>
    <s v="M"/>
    <n v="9"/>
    <n v="2018"/>
    <n v="2018"/>
    <n v="14"/>
    <x v="0"/>
    <s v="14B"/>
    <x v="10"/>
    <n v="1"/>
    <n v="7"/>
    <x v="0"/>
    <x v="0"/>
  </r>
  <r>
    <n v="17831"/>
    <n v="120843166"/>
    <s v="Recovery"/>
    <n v="200"/>
    <s v="AHY"/>
    <s v="F"/>
    <n v="1"/>
    <n v="2020"/>
    <n v="2019"/>
    <n v="15"/>
    <x v="0"/>
    <s v="15B"/>
    <x v="11"/>
    <n v="1"/>
    <n v="7"/>
    <x v="0"/>
    <x v="0"/>
  </r>
  <r>
    <n v="17834"/>
    <n v="120843169"/>
    <s v="Recovery"/>
    <n v="200"/>
    <s v="AHY"/>
    <s v="F"/>
    <n v="11"/>
    <n v="2018"/>
    <n v="2018"/>
    <n v="14"/>
    <x v="0"/>
    <s v="14B"/>
    <x v="10"/>
    <n v="1"/>
    <n v="7"/>
    <x v="0"/>
    <x v="0"/>
  </r>
  <r>
    <n v="17840"/>
    <n v="120843175"/>
    <s v="Recovery"/>
    <n v="200"/>
    <s v="AHY"/>
    <s v="M"/>
    <n v="12"/>
    <n v="2018"/>
    <n v="2018"/>
    <n v="14"/>
    <x v="0"/>
    <s v="14B"/>
    <x v="10"/>
    <n v="1"/>
    <n v="7"/>
    <x v="0"/>
    <x v="0"/>
  </r>
  <r>
    <n v="17848"/>
    <n v="120843183"/>
    <s v="Recovery"/>
    <n v="200"/>
    <s v="AHY"/>
    <s v="F"/>
    <n v="12"/>
    <n v="2019"/>
    <n v="2019"/>
    <n v="15"/>
    <x v="0"/>
    <s v="15B"/>
    <x v="11"/>
    <n v="1"/>
    <n v="7"/>
    <x v="0"/>
    <x v="0"/>
  </r>
  <r>
    <n v="17850"/>
    <n v="120843185"/>
    <s v="Recovery"/>
    <n v="200"/>
    <s v="AHY"/>
    <s v="F"/>
    <n v="9"/>
    <n v="2020"/>
    <n v="2020"/>
    <n v="16"/>
    <x v="0"/>
    <s v="16B"/>
    <x v="15"/>
    <n v="1"/>
    <n v="7"/>
    <x v="0"/>
    <x v="0"/>
  </r>
  <r>
    <n v="17863"/>
    <n v="120843198"/>
    <s v="Recovery"/>
    <n v="200"/>
    <s v="AHY"/>
    <s v="M"/>
    <n v="1"/>
    <n v="2019"/>
    <n v="2018"/>
    <n v="14"/>
    <x v="0"/>
    <s v="14B"/>
    <x v="10"/>
    <n v="1"/>
    <n v="7"/>
    <x v="0"/>
    <x v="0"/>
  </r>
  <r>
    <n v="17866"/>
    <n v="120843201"/>
    <s v="Recovery"/>
    <n v="200"/>
    <s v="AHY"/>
    <s v="F"/>
    <n v="1"/>
    <n v="2019"/>
    <n v="2018"/>
    <n v="14"/>
    <x v="0"/>
    <s v="14B"/>
    <x v="10"/>
    <n v="1"/>
    <n v="7"/>
    <x v="0"/>
    <x v="0"/>
  </r>
  <r>
    <n v="17869"/>
    <n v="120843204"/>
    <s v="Recovery"/>
    <n v="200"/>
    <s v="AHY"/>
    <s v="M"/>
    <n v="1"/>
    <n v="2020"/>
    <n v="2019"/>
    <n v="15"/>
    <x v="0"/>
    <s v="15B"/>
    <x v="11"/>
    <n v="1"/>
    <n v="7"/>
    <x v="0"/>
    <x v="0"/>
  </r>
  <r>
    <n v="17875"/>
    <n v="120843210"/>
    <s v="Recovery"/>
    <n v="200"/>
    <s v="AHY"/>
    <s v="F"/>
    <n v="1"/>
    <n v="2021"/>
    <n v="2020"/>
    <n v="16"/>
    <x v="0"/>
    <s v="16B"/>
    <x v="15"/>
    <n v="1"/>
    <n v="7"/>
    <x v="0"/>
    <x v="0"/>
  </r>
  <r>
    <n v="17877"/>
    <n v="120843212"/>
    <s v="Recovery"/>
    <n v="200"/>
    <s v="AHY"/>
    <s v="F"/>
    <n v="9"/>
    <n v="2019"/>
    <n v="2019"/>
    <n v="15"/>
    <x v="0"/>
    <s v="15B"/>
    <x v="11"/>
    <n v="1"/>
    <n v="7"/>
    <x v="0"/>
    <x v="0"/>
  </r>
  <r>
    <n v="17886"/>
    <n v="120843221"/>
    <s v="Recovery"/>
    <n v="200"/>
    <s v="AHY"/>
    <s v="M"/>
    <n v="9"/>
    <n v="2019"/>
    <n v="2019"/>
    <n v="15"/>
    <x v="0"/>
    <s v="15B"/>
    <x v="11"/>
    <n v="1"/>
    <n v="7"/>
    <x v="0"/>
    <x v="0"/>
  </r>
  <r>
    <n v="17888"/>
    <n v="120843223"/>
    <s v="Recovery"/>
    <n v="200"/>
    <s v="AHY"/>
    <s v="M"/>
    <n v="1"/>
    <n v="2021"/>
    <n v="2020"/>
    <n v="16"/>
    <x v="0"/>
    <s v="16B"/>
    <x v="15"/>
    <n v="1"/>
    <n v="7"/>
    <x v="0"/>
    <x v="0"/>
  </r>
  <r>
    <n v="17889"/>
    <n v="120843224"/>
    <s v="Recovery"/>
    <n v="200"/>
    <s v="AHY"/>
    <s v="F"/>
    <n v="9"/>
    <n v="2019"/>
    <n v="2019"/>
    <n v="15"/>
    <x v="0"/>
    <s v="15B"/>
    <x v="11"/>
    <n v="1"/>
    <n v="7"/>
    <x v="0"/>
    <x v="0"/>
  </r>
  <r>
    <n v="17901"/>
    <n v="120843236"/>
    <s v="Recovery"/>
    <n v="200"/>
    <s v="AHY"/>
    <s v="M"/>
    <n v="1"/>
    <n v="2020"/>
    <n v="2019"/>
    <n v="15"/>
    <x v="0"/>
    <s v="15B"/>
    <x v="11"/>
    <n v="1"/>
    <n v="7"/>
    <x v="0"/>
    <x v="0"/>
  </r>
  <r>
    <n v="17904"/>
    <n v="120843239"/>
    <s v="Recovery"/>
    <n v="200"/>
    <s v="AHY"/>
    <s v="M"/>
    <n v="9"/>
    <n v="2019"/>
    <n v="2019"/>
    <n v="15"/>
    <x v="0"/>
    <s v="15B"/>
    <x v="11"/>
    <n v="1"/>
    <n v="7"/>
    <x v="0"/>
    <x v="0"/>
  </r>
  <r>
    <n v="17906"/>
    <n v="120843241"/>
    <s v="Recovery"/>
    <n v="200"/>
    <s v="AHY"/>
    <s v="F"/>
    <n v="12"/>
    <n v="2018"/>
    <n v="2018"/>
    <n v="14"/>
    <x v="0"/>
    <s v="14B"/>
    <x v="10"/>
    <n v="1"/>
    <n v="7"/>
    <x v="0"/>
    <x v="0"/>
  </r>
  <r>
    <n v="17914"/>
    <n v="120843249"/>
    <s v="Recovery"/>
    <n v="200"/>
    <s v="AHY"/>
    <s v="M"/>
    <n v="1"/>
    <n v="2020"/>
    <n v="2019"/>
    <n v="15"/>
    <x v="0"/>
    <s v="15B"/>
    <x v="11"/>
    <n v="1"/>
    <n v="7"/>
    <x v="0"/>
    <x v="0"/>
  </r>
  <r>
    <n v="17915"/>
    <n v="120843250"/>
    <s v="Recovery"/>
    <n v="200"/>
    <s v="AHY"/>
    <s v="M"/>
    <n v="1"/>
    <n v="2020"/>
    <n v="2019"/>
    <n v="15"/>
    <x v="0"/>
    <s v="15B"/>
    <x v="11"/>
    <n v="1"/>
    <n v="7"/>
    <x v="0"/>
    <x v="0"/>
  </r>
  <r>
    <n v="17918"/>
    <n v="120843253"/>
    <s v="Recovery"/>
    <n v="200"/>
    <s v="AHY"/>
    <s v="F"/>
    <n v="9"/>
    <n v="2019"/>
    <n v="2019"/>
    <n v="15"/>
    <x v="0"/>
    <s v="15B"/>
    <x v="11"/>
    <n v="1"/>
    <n v="7"/>
    <x v="0"/>
    <x v="0"/>
  </r>
  <r>
    <n v="17921"/>
    <n v="120843256"/>
    <s v="Recovery"/>
    <n v="200"/>
    <s v="AHY"/>
    <s v="M"/>
    <n v="12"/>
    <n v="2019"/>
    <n v="2019"/>
    <n v="15"/>
    <x v="0"/>
    <s v="15B"/>
    <x v="11"/>
    <n v="1"/>
    <n v="7"/>
    <x v="0"/>
    <x v="0"/>
  </r>
  <r>
    <n v="17924"/>
    <n v="120843259"/>
    <s v="Recovery"/>
    <n v="200"/>
    <s v="AHY"/>
    <s v="F"/>
    <n v="1"/>
    <n v="2019"/>
    <n v="2018"/>
    <n v="14"/>
    <x v="0"/>
    <s v="14B"/>
    <x v="10"/>
    <n v="1"/>
    <n v="7"/>
    <x v="0"/>
    <x v="0"/>
  </r>
  <r>
    <n v="17926"/>
    <n v="120843261"/>
    <s v="Recovery"/>
    <n v="200"/>
    <s v="AHY"/>
    <s v="M"/>
    <n v="1"/>
    <n v="2020"/>
    <n v="2019"/>
    <n v="15"/>
    <x v="0"/>
    <s v="15B"/>
    <x v="11"/>
    <n v="1"/>
    <n v="7"/>
    <x v="0"/>
    <x v="0"/>
  </r>
  <r>
    <n v="17931"/>
    <n v="120843266"/>
    <s v="Recovery"/>
    <n v="200"/>
    <s v="AHY"/>
    <s v="M"/>
    <n v="12"/>
    <n v="2018"/>
    <n v="2018"/>
    <n v="14"/>
    <x v="0"/>
    <s v="14B"/>
    <x v="10"/>
    <n v="1"/>
    <n v="7"/>
    <x v="0"/>
    <x v="0"/>
  </r>
  <r>
    <n v="17937"/>
    <n v="120843272"/>
    <s v="Recovery"/>
    <n v="200"/>
    <s v="AHY"/>
    <s v="F"/>
    <n v="9"/>
    <n v="2020"/>
    <n v="2020"/>
    <n v="16"/>
    <x v="0"/>
    <s v="16B"/>
    <x v="15"/>
    <n v="1"/>
    <n v="7"/>
    <x v="0"/>
    <x v="0"/>
  </r>
  <r>
    <n v="17942"/>
    <n v="120843277"/>
    <s v="Recovery"/>
    <n v="200"/>
    <s v="AHY"/>
    <s v="F"/>
    <n v="1"/>
    <n v="2021"/>
    <n v="2020"/>
    <n v="16"/>
    <x v="0"/>
    <s v="16B"/>
    <x v="15"/>
    <n v="1"/>
    <n v="7"/>
    <x v="0"/>
    <x v="0"/>
  </r>
  <r>
    <n v="17953"/>
    <n v="120843288"/>
    <s v="Recovery"/>
    <n v="200"/>
    <s v="AHY"/>
    <s v="F"/>
    <n v="1"/>
    <n v="2019"/>
    <n v="2018"/>
    <n v="14"/>
    <x v="0"/>
    <s v="14B"/>
    <x v="10"/>
    <n v="1"/>
    <n v="7"/>
    <x v="0"/>
    <x v="0"/>
  </r>
  <r>
    <n v="17958"/>
    <n v="120843293"/>
    <s v="Recovery"/>
    <n v="200"/>
    <s v="AHY"/>
    <s v="M"/>
    <n v="1"/>
    <n v="2019"/>
    <n v="2018"/>
    <n v="14"/>
    <x v="0"/>
    <s v="14B"/>
    <x v="10"/>
    <n v="1"/>
    <n v="7"/>
    <x v="0"/>
    <x v="0"/>
  </r>
  <r>
    <n v="17964"/>
    <n v="120843299"/>
    <s v="Recovery"/>
    <n v="200"/>
    <s v="AHY"/>
    <s v="M"/>
    <n v="1"/>
    <n v="2020"/>
    <n v="2019"/>
    <n v="15"/>
    <x v="0"/>
    <s v="15B"/>
    <x v="11"/>
    <n v="1"/>
    <n v="7"/>
    <x v="0"/>
    <x v="0"/>
  </r>
  <r>
    <n v="17970"/>
    <n v="120843305"/>
    <s v="Recovery"/>
    <n v="200"/>
    <s v="AHY"/>
    <s v="M"/>
    <n v="1"/>
    <n v="2019"/>
    <n v="2018"/>
    <n v="14"/>
    <x v="0"/>
    <s v="14B"/>
    <x v="10"/>
    <n v="1"/>
    <n v="7"/>
    <x v="0"/>
    <x v="0"/>
  </r>
  <r>
    <n v="17971"/>
    <n v="120843306"/>
    <s v="Recovery"/>
    <n v="200"/>
    <s v="AHY"/>
    <s v="M"/>
    <n v="9"/>
    <n v="2019"/>
    <n v="2019"/>
    <n v="15"/>
    <x v="0"/>
    <s v="15B"/>
    <x v="11"/>
    <n v="1"/>
    <n v="7"/>
    <x v="0"/>
    <x v="0"/>
  </r>
  <r>
    <n v="17972"/>
    <n v="120843307"/>
    <s v="Recovery"/>
    <n v="200"/>
    <s v="AHY"/>
    <s v="F"/>
    <n v="9"/>
    <n v="2019"/>
    <n v="2019"/>
    <n v="15"/>
    <x v="0"/>
    <s v="15B"/>
    <x v="11"/>
    <n v="1"/>
    <n v="7"/>
    <x v="0"/>
    <x v="0"/>
  </r>
  <r>
    <n v="17973"/>
    <n v="120843308"/>
    <s v="Recovery"/>
    <n v="200"/>
    <s v="AHY"/>
    <s v="F"/>
    <n v="1"/>
    <n v="2019"/>
    <n v="2018"/>
    <n v="14"/>
    <x v="0"/>
    <s v="14B"/>
    <x v="10"/>
    <n v="1"/>
    <n v="7"/>
    <x v="0"/>
    <x v="0"/>
  </r>
  <r>
    <n v="17986"/>
    <n v="120843321"/>
    <s v="Recovery"/>
    <n v="200"/>
    <s v="AHY"/>
    <s v="F"/>
    <n v="9"/>
    <n v="2019"/>
    <n v="2019"/>
    <n v="15"/>
    <x v="0"/>
    <s v="15B"/>
    <x v="11"/>
    <n v="1"/>
    <n v="7"/>
    <x v="0"/>
    <x v="0"/>
  </r>
  <r>
    <n v="17989"/>
    <n v="120843324"/>
    <s v="Recovery"/>
    <n v="200"/>
    <s v="AHY"/>
    <s v="F"/>
    <n v="9"/>
    <n v="2020"/>
    <n v="2020"/>
    <n v="16"/>
    <x v="0"/>
    <s v="16B"/>
    <x v="15"/>
    <n v="1"/>
    <n v="7"/>
    <x v="0"/>
    <x v="0"/>
  </r>
  <r>
    <n v="17991"/>
    <n v="120843326"/>
    <s v="Recovery"/>
    <n v="200"/>
    <s v="AHY"/>
    <s v="F"/>
    <n v="1"/>
    <n v="2021"/>
    <n v="2020"/>
    <n v="16"/>
    <x v="0"/>
    <s v="16B"/>
    <x v="15"/>
    <n v="1"/>
    <n v="7"/>
    <x v="0"/>
    <x v="0"/>
  </r>
  <r>
    <n v="18007"/>
    <n v="120843342"/>
    <s v="Recovery"/>
    <n v="200"/>
    <s v="AHY"/>
    <s v="M"/>
    <n v="9"/>
    <n v="2019"/>
    <n v="2019"/>
    <n v="15"/>
    <x v="0"/>
    <s v="15B"/>
    <x v="11"/>
    <n v="1"/>
    <n v="7"/>
    <x v="0"/>
    <x v="0"/>
  </r>
  <r>
    <n v="18010"/>
    <n v="120843345"/>
    <s v="Recovery"/>
    <n v="200"/>
    <s v="AHY"/>
    <s v="F"/>
    <n v="1"/>
    <n v="2019"/>
    <n v="2018"/>
    <n v="14"/>
    <x v="0"/>
    <s v="14B"/>
    <x v="10"/>
    <n v="1"/>
    <n v="7"/>
    <x v="0"/>
    <x v="0"/>
  </r>
  <r>
    <n v="18014"/>
    <n v="120843349"/>
    <s v="Recovery"/>
    <n v="200"/>
    <s v="AHY"/>
    <s v="F"/>
    <n v="1"/>
    <n v="2019"/>
    <n v="2018"/>
    <n v="14"/>
    <x v="0"/>
    <s v="14B"/>
    <x v="10"/>
    <n v="1"/>
    <n v="7"/>
    <x v="0"/>
    <x v="0"/>
  </r>
  <r>
    <n v="18015"/>
    <n v="120843350"/>
    <s v="Recovery"/>
    <n v="200"/>
    <s v="AHY"/>
    <s v="F"/>
    <n v="2"/>
    <n v="2019"/>
    <n v="2018"/>
    <n v="14"/>
    <x v="0"/>
    <s v="14B"/>
    <x v="10"/>
    <n v="1"/>
    <n v="7"/>
    <x v="0"/>
    <x v="0"/>
  </r>
  <r>
    <n v="18025"/>
    <n v="120843360"/>
    <s v="Recovery"/>
    <n v="200"/>
    <s v="AHY"/>
    <s v="M"/>
    <n v="9"/>
    <n v="2020"/>
    <n v="2020"/>
    <n v="16"/>
    <x v="0"/>
    <s v="16B"/>
    <x v="15"/>
    <n v="1"/>
    <n v="7"/>
    <x v="0"/>
    <x v="0"/>
  </r>
  <r>
    <n v="18029"/>
    <n v="120843364"/>
    <s v="Recovery"/>
    <n v="200"/>
    <s v="AHY"/>
    <s v="F"/>
    <n v="9"/>
    <n v="2020"/>
    <n v="2020"/>
    <n v="16"/>
    <x v="0"/>
    <s v="16B"/>
    <x v="15"/>
    <n v="1"/>
    <n v="7"/>
    <x v="0"/>
    <x v="0"/>
  </r>
  <r>
    <n v="18031"/>
    <n v="120843366"/>
    <s v="Recovery"/>
    <n v="200"/>
    <s v="AHY"/>
    <s v="M"/>
    <n v="1"/>
    <n v="2020"/>
    <n v="2019"/>
    <n v="15"/>
    <x v="0"/>
    <s v="15B"/>
    <x v="11"/>
    <n v="1"/>
    <n v="7"/>
    <x v="0"/>
    <x v="0"/>
  </r>
  <r>
    <n v="18050"/>
    <n v="120843385"/>
    <s v="Recovery"/>
    <n v="200"/>
    <s v="AHY"/>
    <s v="M"/>
    <n v="1"/>
    <n v="2020"/>
    <n v="2019"/>
    <n v="15"/>
    <x v="0"/>
    <s v="15B"/>
    <x v="11"/>
    <n v="1"/>
    <n v="7"/>
    <x v="0"/>
    <x v="0"/>
  </r>
  <r>
    <n v="18052"/>
    <n v="120843387"/>
    <s v="Recovery"/>
    <n v="200"/>
    <s v="AHY"/>
    <s v="F"/>
    <n v="10"/>
    <n v="2020"/>
    <n v="2020"/>
    <n v="16"/>
    <x v="0"/>
    <s v="16B"/>
    <x v="15"/>
    <n v="1"/>
    <n v="7"/>
    <x v="0"/>
    <x v="0"/>
  </r>
  <r>
    <n v="18057"/>
    <n v="120843392"/>
    <s v="Recovery"/>
    <n v="200"/>
    <s v="AHY"/>
    <s v="F"/>
    <n v="12"/>
    <n v="2020"/>
    <n v="2020"/>
    <n v="16"/>
    <x v="0"/>
    <s v="16B"/>
    <x v="15"/>
    <n v="1"/>
    <n v="7"/>
    <x v="0"/>
    <x v="0"/>
  </r>
  <r>
    <n v="18065"/>
    <n v="120843400"/>
    <s v="Recovery"/>
    <n v="200"/>
    <s v="AHY"/>
    <s v="F"/>
    <n v="1"/>
    <n v="2021"/>
    <n v="2020"/>
    <n v="16"/>
    <x v="0"/>
    <s v="16B"/>
    <x v="15"/>
    <n v="1"/>
    <n v="7"/>
    <x v="0"/>
    <x v="0"/>
  </r>
  <r>
    <n v="18068"/>
    <n v="120843403"/>
    <s v="Recovery"/>
    <n v="200"/>
    <s v="AHY"/>
    <s v="M"/>
    <n v="1"/>
    <n v="2020"/>
    <n v="2019"/>
    <n v="15"/>
    <x v="0"/>
    <s v="15B"/>
    <x v="11"/>
    <n v="1"/>
    <n v="7"/>
    <x v="0"/>
    <x v="0"/>
  </r>
  <r>
    <n v="18086"/>
    <n v="120843421"/>
    <s v="Recovery"/>
    <n v="200"/>
    <s v="AHY"/>
    <s v="F"/>
    <n v="9"/>
    <n v="2018"/>
    <n v="2018"/>
    <n v="14"/>
    <x v="0"/>
    <s v="14B"/>
    <x v="10"/>
    <n v="1"/>
    <n v="7"/>
    <x v="0"/>
    <x v="0"/>
  </r>
  <r>
    <n v="18092"/>
    <n v="120843427"/>
    <s v="Recovery"/>
    <n v="200"/>
    <s v="AHY"/>
    <s v="M"/>
    <n v="1"/>
    <n v="2020"/>
    <n v="2019"/>
    <n v="15"/>
    <x v="0"/>
    <s v="15B"/>
    <x v="11"/>
    <n v="1"/>
    <n v="7"/>
    <x v="0"/>
    <x v="0"/>
  </r>
  <r>
    <n v="18101"/>
    <n v="120843436"/>
    <s v="Recovery"/>
    <n v="200"/>
    <s v="AHY"/>
    <s v="M"/>
    <n v="1"/>
    <n v="2020"/>
    <n v="2019"/>
    <n v="15"/>
    <x v="0"/>
    <s v="15B"/>
    <x v="11"/>
    <n v="1"/>
    <n v="7"/>
    <x v="0"/>
    <x v="0"/>
  </r>
  <r>
    <n v="18102"/>
    <n v="120843437"/>
    <s v="Recovery"/>
    <n v="200"/>
    <s v="AHY"/>
    <s v="M"/>
    <n v="1"/>
    <n v="2021"/>
    <n v="2020"/>
    <n v="16"/>
    <x v="0"/>
    <s v="16B"/>
    <x v="15"/>
    <n v="1"/>
    <n v="7"/>
    <x v="0"/>
    <x v="0"/>
  </r>
  <r>
    <n v="18108"/>
    <n v="120843443"/>
    <s v="Recovery"/>
    <n v="200"/>
    <s v="AHY"/>
    <s v="M"/>
    <n v="1"/>
    <n v="2021"/>
    <n v="2020"/>
    <n v="16"/>
    <x v="0"/>
    <s v="16B"/>
    <x v="15"/>
    <n v="1"/>
    <n v="7"/>
    <x v="0"/>
    <x v="0"/>
  </r>
  <r>
    <n v="18109"/>
    <n v="120843444"/>
    <s v="Recovery"/>
    <n v="200"/>
    <s v="AHY"/>
    <s v="M"/>
    <n v="1"/>
    <n v="2020"/>
    <n v="2019"/>
    <n v="15"/>
    <x v="0"/>
    <s v="15B"/>
    <x v="11"/>
    <n v="1"/>
    <n v="7"/>
    <x v="0"/>
    <x v="0"/>
  </r>
  <r>
    <n v="18114"/>
    <n v="120843449"/>
    <s v="Recovery"/>
    <n v="200"/>
    <s v="AHY"/>
    <s v="M"/>
    <n v="9"/>
    <n v="2019"/>
    <n v="2019"/>
    <n v="15"/>
    <x v="0"/>
    <s v="15B"/>
    <x v="11"/>
    <n v="1"/>
    <n v="7"/>
    <x v="0"/>
    <x v="0"/>
  </r>
  <r>
    <n v="18125"/>
    <n v="120843460"/>
    <s v="Recovery"/>
    <n v="200"/>
    <s v="AHY"/>
    <s v="F"/>
    <n v="10"/>
    <n v="2018"/>
    <n v="2018"/>
    <n v="14"/>
    <x v="0"/>
    <s v="14B"/>
    <x v="10"/>
    <n v="1"/>
    <n v="7"/>
    <x v="0"/>
    <x v="0"/>
  </r>
  <r>
    <n v="18132"/>
    <n v="120843467"/>
    <s v="Recovery"/>
    <n v="200"/>
    <s v="AHY"/>
    <s v="F"/>
    <n v="11"/>
    <n v="2019"/>
    <n v="2019"/>
    <n v="15"/>
    <x v="0"/>
    <s v="15B"/>
    <x v="11"/>
    <n v="1"/>
    <n v="7"/>
    <x v="0"/>
    <x v="0"/>
  </r>
  <r>
    <n v="18133"/>
    <n v="120843468"/>
    <s v="Recovery"/>
    <n v="200"/>
    <s v="AHY"/>
    <s v="M"/>
    <n v="10"/>
    <n v="2018"/>
    <n v="2018"/>
    <n v="14"/>
    <x v="0"/>
    <s v="14B"/>
    <x v="10"/>
    <n v="1"/>
    <n v="7"/>
    <x v="0"/>
    <x v="0"/>
  </r>
  <r>
    <n v="18137"/>
    <n v="120843472"/>
    <s v="Recovery"/>
    <n v="200"/>
    <s v="AHY"/>
    <s v="F"/>
    <n v="1"/>
    <n v="2020"/>
    <n v="2019"/>
    <n v="15"/>
    <x v="0"/>
    <s v="15B"/>
    <x v="11"/>
    <n v="1"/>
    <n v="7"/>
    <x v="0"/>
    <x v="0"/>
  </r>
  <r>
    <n v="18140"/>
    <n v="120843475"/>
    <s v="Recovery"/>
    <n v="200"/>
    <s v="AHY"/>
    <s v="M"/>
    <n v="1"/>
    <n v="2020"/>
    <n v="2019"/>
    <n v="15"/>
    <x v="0"/>
    <s v="15B"/>
    <x v="11"/>
    <n v="1"/>
    <n v="7"/>
    <x v="0"/>
    <x v="0"/>
  </r>
  <r>
    <n v="18141"/>
    <n v="120843476"/>
    <s v="Recovery"/>
    <n v="200"/>
    <s v="AHY"/>
    <s v="M"/>
    <n v="1"/>
    <n v="2019"/>
    <n v="2018"/>
    <n v="14"/>
    <x v="0"/>
    <s v="14B"/>
    <x v="10"/>
    <n v="1"/>
    <n v="7"/>
    <x v="0"/>
    <x v="0"/>
  </r>
  <r>
    <n v="18153"/>
    <n v="120843488"/>
    <s v="Recovery"/>
    <n v="200"/>
    <s v="AHY"/>
    <s v="F"/>
    <n v="9"/>
    <n v="2020"/>
    <n v="2020"/>
    <n v="16"/>
    <x v="0"/>
    <s v="16B"/>
    <x v="15"/>
    <n v="1"/>
    <n v="7"/>
    <x v="0"/>
    <x v="0"/>
  </r>
  <r>
    <n v="18156"/>
    <n v="120843491"/>
    <s v="Recovery"/>
    <n v="200"/>
    <s v="AHY"/>
    <s v="M"/>
    <n v="9"/>
    <n v="2019"/>
    <n v="2019"/>
    <n v="15"/>
    <x v="0"/>
    <s v="15B"/>
    <x v="11"/>
    <n v="1"/>
    <n v="7"/>
    <x v="0"/>
    <x v="0"/>
  </r>
  <r>
    <n v="18162"/>
    <n v="120843497"/>
    <s v="Recovery"/>
    <n v="200"/>
    <s v="AHY"/>
    <s v="M"/>
    <n v="12"/>
    <n v="2018"/>
    <n v="2018"/>
    <n v="14"/>
    <x v="0"/>
    <s v="14B"/>
    <x v="10"/>
    <n v="1"/>
    <n v="7"/>
    <x v="0"/>
    <x v="0"/>
  </r>
  <r>
    <n v="18164"/>
    <n v="120843499"/>
    <s v="Recovery"/>
    <n v="200"/>
    <s v="AHY"/>
    <s v="F"/>
    <n v="9"/>
    <n v="2018"/>
    <n v="2018"/>
    <n v="14"/>
    <x v="0"/>
    <s v="14B"/>
    <x v="10"/>
    <n v="1"/>
    <n v="7"/>
    <x v="0"/>
    <x v="0"/>
  </r>
  <r>
    <n v="18168"/>
    <n v="120843503"/>
    <s v="Recovery"/>
    <n v="200"/>
    <s v="AHY"/>
    <s v="F"/>
    <n v="12"/>
    <n v="2020"/>
    <n v="2020"/>
    <n v="16"/>
    <x v="0"/>
    <s v="16B"/>
    <x v="15"/>
    <n v="1"/>
    <n v="7"/>
    <x v="0"/>
    <x v="0"/>
  </r>
  <r>
    <n v="18169"/>
    <n v="120843504"/>
    <s v="Recovery"/>
    <n v="200"/>
    <s v="AHY"/>
    <s v="M"/>
    <n v="1"/>
    <n v="2019"/>
    <n v="2018"/>
    <n v="14"/>
    <x v="0"/>
    <s v="14B"/>
    <x v="10"/>
    <n v="1"/>
    <n v="7"/>
    <x v="0"/>
    <x v="0"/>
  </r>
  <r>
    <n v="18170"/>
    <n v="120843505"/>
    <s v="Recovery"/>
    <n v="200"/>
    <s v="AHY"/>
    <s v="M"/>
    <n v="1"/>
    <n v="2019"/>
    <n v="2018"/>
    <n v="14"/>
    <x v="0"/>
    <s v="14B"/>
    <x v="10"/>
    <n v="1"/>
    <n v="7"/>
    <x v="0"/>
    <x v="0"/>
  </r>
  <r>
    <n v="18177"/>
    <n v="120843512"/>
    <s v="Recovery"/>
    <n v="200"/>
    <s v="AHY"/>
    <s v="F"/>
    <n v="12"/>
    <n v="2020"/>
    <n v="2020"/>
    <n v="16"/>
    <x v="0"/>
    <s v="16B"/>
    <x v="15"/>
    <n v="1"/>
    <n v="7"/>
    <x v="0"/>
    <x v="0"/>
  </r>
  <r>
    <n v="18179"/>
    <n v="120843514"/>
    <s v="Recovery"/>
    <n v="200"/>
    <s v="AHY"/>
    <s v="M"/>
    <n v="1"/>
    <n v="2020"/>
    <n v="2019"/>
    <n v="15"/>
    <x v="0"/>
    <s v="15B"/>
    <x v="11"/>
    <n v="1"/>
    <n v="7"/>
    <x v="0"/>
    <x v="0"/>
  </r>
  <r>
    <n v="18189"/>
    <n v="120843524"/>
    <s v="Recovery"/>
    <n v="200"/>
    <s v="AHY"/>
    <s v="M"/>
    <n v="11"/>
    <n v="2020"/>
    <n v="2020"/>
    <n v="16"/>
    <x v="0"/>
    <s v="16B"/>
    <x v="15"/>
    <n v="1"/>
    <n v="7"/>
    <x v="0"/>
    <x v="0"/>
  </r>
  <r>
    <n v="18191"/>
    <n v="120843526"/>
    <s v="Recovery"/>
    <n v="200"/>
    <s v="AHY"/>
    <s v="F"/>
    <n v="9"/>
    <n v="2018"/>
    <n v="2018"/>
    <n v="14"/>
    <x v="0"/>
    <s v="14B"/>
    <x v="10"/>
    <n v="1"/>
    <n v="7"/>
    <x v="0"/>
    <x v="0"/>
  </r>
  <r>
    <n v="18194"/>
    <n v="120843529"/>
    <s v="Recovery"/>
    <n v="200"/>
    <s v="AHY"/>
    <s v="M"/>
    <n v="1"/>
    <n v="2019"/>
    <n v="2018"/>
    <n v="14"/>
    <x v="0"/>
    <s v="14B"/>
    <x v="10"/>
    <n v="1"/>
    <n v="7"/>
    <x v="0"/>
    <x v="0"/>
  </r>
  <r>
    <n v="18196"/>
    <n v="120843531"/>
    <s v="Recovery"/>
    <n v="200"/>
    <s v="AHY"/>
    <s v="F"/>
    <n v="10"/>
    <n v="2019"/>
    <n v="2019"/>
    <n v="15"/>
    <x v="0"/>
    <s v="15B"/>
    <x v="11"/>
    <n v="1"/>
    <n v="7"/>
    <x v="0"/>
    <x v="0"/>
  </r>
  <r>
    <n v="18197"/>
    <n v="120843532"/>
    <s v="Recovery"/>
    <n v="200"/>
    <s v="AHY"/>
    <s v="M"/>
    <n v="11"/>
    <n v="2018"/>
    <n v="2018"/>
    <n v="14"/>
    <x v="0"/>
    <s v="14B"/>
    <x v="10"/>
    <n v="1"/>
    <n v="7"/>
    <x v="0"/>
    <x v="0"/>
  </r>
  <r>
    <n v="18199"/>
    <n v="120843534"/>
    <s v="Recovery"/>
    <n v="200"/>
    <s v="AHY"/>
    <s v="M"/>
    <n v="1"/>
    <n v="2020"/>
    <n v="2019"/>
    <n v="15"/>
    <x v="0"/>
    <s v="15B"/>
    <x v="11"/>
    <n v="1"/>
    <n v="7"/>
    <x v="0"/>
    <x v="0"/>
  </r>
  <r>
    <n v="18200"/>
    <n v="120843535"/>
    <s v="Recovery"/>
    <n v="200"/>
    <s v="AHY"/>
    <s v="M"/>
    <n v="9"/>
    <n v="2018"/>
    <n v="2018"/>
    <n v="14"/>
    <x v="0"/>
    <s v="14B"/>
    <x v="10"/>
    <n v="1"/>
    <n v="7"/>
    <x v="0"/>
    <x v="0"/>
  </r>
  <r>
    <n v="18212"/>
    <n v="120843547"/>
    <s v="Recovery"/>
    <n v="200"/>
    <s v="AHY"/>
    <s v="F"/>
    <n v="1"/>
    <n v="2019"/>
    <n v="2018"/>
    <n v="14"/>
    <x v="0"/>
    <s v="14B"/>
    <x v="10"/>
    <n v="1"/>
    <n v="7"/>
    <x v="0"/>
    <x v="0"/>
  </r>
  <r>
    <n v="18216"/>
    <n v="120843551"/>
    <s v="Recovery"/>
    <n v="200"/>
    <s v="AHY"/>
    <s v="F"/>
    <n v="11"/>
    <n v="2018"/>
    <n v="2018"/>
    <n v="14"/>
    <x v="0"/>
    <s v="14B"/>
    <x v="10"/>
    <n v="1"/>
    <n v="7"/>
    <x v="0"/>
    <x v="0"/>
  </r>
  <r>
    <n v="18226"/>
    <n v="120843561"/>
    <s v="Recovery"/>
    <n v="200"/>
    <s v="AHY"/>
    <s v="F"/>
    <n v="12"/>
    <n v="2020"/>
    <n v="2020"/>
    <n v="16"/>
    <x v="0"/>
    <s v="16B"/>
    <x v="15"/>
    <n v="1"/>
    <n v="7"/>
    <x v="0"/>
    <x v="0"/>
  </r>
  <r>
    <n v="18230"/>
    <n v="120843565"/>
    <s v="Recovery"/>
    <n v="200"/>
    <s v="AHY"/>
    <s v="M"/>
    <n v="9"/>
    <n v="2018"/>
    <n v="2018"/>
    <n v="14"/>
    <x v="0"/>
    <s v="14B"/>
    <x v="10"/>
    <n v="1"/>
    <n v="7"/>
    <x v="0"/>
    <x v="0"/>
  </r>
  <r>
    <n v="18245"/>
    <n v="120843580"/>
    <s v="Recovery"/>
    <n v="200"/>
    <s v="AHY"/>
    <s v="M"/>
    <n v="9"/>
    <n v="2019"/>
    <n v="2019"/>
    <n v="15"/>
    <x v="0"/>
    <s v="15B"/>
    <x v="11"/>
    <n v="1"/>
    <n v="7"/>
    <x v="0"/>
    <x v="0"/>
  </r>
  <r>
    <n v="18249"/>
    <n v="120843584"/>
    <s v="Recovery"/>
    <n v="200"/>
    <s v="AHY"/>
    <s v="F"/>
    <n v="12"/>
    <n v="2018"/>
    <n v="2018"/>
    <n v="14"/>
    <x v="0"/>
    <s v="14B"/>
    <x v="10"/>
    <n v="1"/>
    <n v="7"/>
    <x v="0"/>
    <x v="0"/>
  </r>
  <r>
    <n v="18262"/>
    <n v="120843597"/>
    <s v="Recovery"/>
    <n v="200"/>
    <s v="AHY"/>
    <s v="F"/>
    <n v="1"/>
    <n v="2021"/>
    <n v="2020"/>
    <n v="16"/>
    <x v="0"/>
    <s v="16B"/>
    <x v="15"/>
    <n v="1"/>
    <n v="7"/>
    <x v="0"/>
    <x v="0"/>
  </r>
  <r>
    <n v="18266"/>
    <n v="120843601"/>
    <s v="Recovery"/>
    <n v="200"/>
    <s v="AHY"/>
    <s v="M"/>
    <n v="1"/>
    <n v="2020"/>
    <n v="2019"/>
    <n v="15"/>
    <x v="0"/>
    <s v="15B"/>
    <x v="11"/>
    <n v="1"/>
    <n v="7"/>
    <x v="0"/>
    <x v="0"/>
  </r>
  <r>
    <n v="18282"/>
    <n v="120843617"/>
    <s v="Recovery"/>
    <n v="200"/>
    <s v="AHY"/>
    <s v="M"/>
    <n v="1"/>
    <n v="2019"/>
    <n v="2018"/>
    <n v="14"/>
    <x v="0"/>
    <s v="14B"/>
    <x v="10"/>
    <n v="1"/>
    <n v="7"/>
    <x v="0"/>
    <x v="0"/>
  </r>
  <r>
    <n v="18291"/>
    <n v="120843626"/>
    <s v="Recovery"/>
    <n v="200"/>
    <s v="AHY"/>
    <s v="M"/>
    <n v="9"/>
    <n v="2020"/>
    <n v="2020"/>
    <n v="16"/>
    <x v="0"/>
    <s v="16B"/>
    <x v="15"/>
    <n v="1"/>
    <n v="7"/>
    <x v="0"/>
    <x v="0"/>
  </r>
  <r>
    <n v="18306"/>
    <n v="120843641"/>
    <s v="Recovery"/>
    <n v="200"/>
    <s v="AHY"/>
    <s v="F"/>
    <n v="9"/>
    <n v="2018"/>
    <n v="2018"/>
    <n v="14"/>
    <x v="0"/>
    <s v="14B"/>
    <x v="10"/>
    <n v="1"/>
    <n v="7"/>
    <x v="0"/>
    <x v="0"/>
  </r>
  <r>
    <n v="18315"/>
    <n v="120843650"/>
    <s v="Recovery"/>
    <n v="200"/>
    <s v="AHY"/>
    <s v="F"/>
    <n v="9"/>
    <n v="2019"/>
    <n v="2019"/>
    <n v="15"/>
    <x v="0"/>
    <s v="15B"/>
    <x v="11"/>
    <n v="1"/>
    <n v="7"/>
    <x v="0"/>
    <x v="0"/>
  </r>
  <r>
    <n v="18317"/>
    <n v="120843652"/>
    <s v="Recovery"/>
    <n v="200"/>
    <s v="AHY"/>
    <s v="F"/>
    <n v="9"/>
    <n v="2020"/>
    <n v="2020"/>
    <n v="16"/>
    <x v="0"/>
    <s v="16B"/>
    <x v="15"/>
    <n v="1"/>
    <n v="7"/>
    <x v="0"/>
    <x v="0"/>
  </r>
  <r>
    <n v="18323"/>
    <n v="120843658"/>
    <s v="Recovery"/>
    <n v="200"/>
    <s v="AHY"/>
    <s v="M"/>
    <n v="1"/>
    <n v="2020"/>
    <n v="2019"/>
    <n v="15"/>
    <x v="0"/>
    <s v="15B"/>
    <x v="11"/>
    <n v="1"/>
    <n v="7"/>
    <x v="0"/>
    <x v="0"/>
  </r>
  <r>
    <n v="18326"/>
    <n v="120843661"/>
    <s v="Recovery"/>
    <n v="200"/>
    <s v="AHY"/>
    <s v="M"/>
    <n v="1"/>
    <n v="2020"/>
    <n v="2019"/>
    <n v="15"/>
    <x v="0"/>
    <s v="15B"/>
    <x v="11"/>
    <n v="1"/>
    <n v="7"/>
    <x v="0"/>
    <x v="0"/>
  </r>
  <r>
    <n v="18329"/>
    <n v="120843664"/>
    <s v="Recovery"/>
    <n v="200"/>
    <s v="AHY"/>
    <s v="M"/>
    <n v="9"/>
    <n v="2020"/>
    <n v="2020"/>
    <n v="16"/>
    <x v="0"/>
    <s v="16B"/>
    <x v="15"/>
    <n v="1"/>
    <n v="7"/>
    <x v="0"/>
    <x v="0"/>
  </r>
  <r>
    <n v="18336"/>
    <n v="120843671"/>
    <s v="Recovery"/>
    <n v="200"/>
    <s v="AHY"/>
    <s v="M"/>
    <n v="9"/>
    <n v="2019"/>
    <n v="2019"/>
    <n v="15"/>
    <x v="0"/>
    <s v="15B"/>
    <x v="11"/>
    <n v="1"/>
    <n v="7"/>
    <x v="0"/>
    <x v="0"/>
  </r>
  <r>
    <n v="18338"/>
    <n v="120843673"/>
    <s v="Recovery"/>
    <n v="200"/>
    <s v="AHY"/>
    <s v="F"/>
    <n v="1"/>
    <n v="2019"/>
    <n v="2018"/>
    <n v="14"/>
    <x v="0"/>
    <s v="14B"/>
    <x v="10"/>
    <n v="1"/>
    <n v="7"/>
    <x v="0"/>
    <x v="0"/>
  </r>
  <r>
    <n v="18342"/>
    <n v="120843677"/>
    <s v="Recovery"/>
    <n v="200"/>
    <s v="AHY"/>
    <s v="M"/>
    <n v="9"/>
    <n v="2019"/>
    <n v="2019"/>
    <n v="15"/>
    <x v="0"/>
    <s v="15B"/>
    <x v="11"/>
    <n v="1"/>
    <n v="7"/>
    <x v="0"/>
    <x v="0"/>
  </r>
  <r>
    <n v="18348"/>
    <n v="120843683"/>
    <s v="Recovery"/>
    <n v="200"/>
    <s v="AHY"/>
    <s v="F"/>
    <n v="1"/>
    <n v="2020"/>
    <n v="2019"/>
    <n v="15"/>
    <x v="0"/>
    <s v="15B"/>
    <x v="11"/>
    <n v="1"/>
    <n v="7"/>
    <x v="0"/>
    <x v="0"/>
  </r>
  <r>
    <n v="18349"/>
    <n v="120843684"/>
    <s v="Recovery"/>
    <n v="200"/>
    <s v="AHY"/>
    <s v="M"/>
    <n v="9"/>
    <n v="2020"/>
    <n v="2020"/>
    <n v="16"/>
    <x v="0"/>
    <s v="16B"/>
    <x v="15"/>
    <n v="1"/>
    <n v="7"/>
    <x v="0"/>
    <x v="0"/>
  </r>
  <r>
    <n v="18352"/>
    <n v="120843687"/>
    <s v="Recovery"/>
    <n v="200"/>
    <s v="AHY"/>
    <s v="F"/>
    <n v="1"/>
    <n v="2020"/>
    <n v="2019"/>
    <n v="15"/>
    <x v="0"/>
    <s v="15B"/>
    <x v="11"/>
    <n v="1"/>
    <n v="7"/>
    <x v="0"/>
    <x v="0"/>
  </r>
  <r>
    <n v="18355"/>
    <n v="120843690"/>
    <s v="Recovery"/>
    <n v="200"/>
    <s v="AHY"/>
    <s v="F"/>
    <n v="9"/>
    <n v="2018"/>
    <n v="2018"/>
    <n v="14"/>
    <x v="0"/>
    <s v="14B"/>
    <x v="10"/>
    <n v="1"/>
    <n v="7"/>
    <x v="0"/>
    <x v="0"/>
  </r>
  <r>
    <n v="18360"/>
    <n v="120843695"/>
    <s v="Recovery"/>
    <n v="200"/>
    <s v="AHY"/>
    <s v="M"/>
    <n v="1"/>
    <n v="2019"/>
    <n v="2018"/>
    <n v="14"/>
    <x v="0"/>
    <s v="14B"/>
    <x v="10"/>
    <n v="1"/>
    <n v="7"/>
    <x v="0"/>
    <x v="0"/>
  </r>
  <r>
    <n v="18363"/>
    <n v="120843698"/>
    <s v="Recovery"/>
    <n v="200"/>
    <s v="AHY"/>
    <s v="F"/>
    <n v="1"/>
    <n v="2020"/>
    <n v="2019"/>
    <n v="15"/>
    <x v="0"/>
    <s v="15B"/>
    <x v="11"/>
    <n v="1"/>
    <n v="7"/>
    <x v="0"/>
    <x v="0"/>
  </r>
  <r>
    <n v="18365"/>
    <n v="120843700"/>
    <s v="Recovery"/>
    <n v="200"/>
    <s v="AHY"/>
    <s v="F"/>
    <n v="1"/>
    <n v="2019"/>
    <n v="2018"/>
    <n v="14"/>
    <x v="0"/>
    <s v="14B"/>
    <x v="10"/>
    <n v="1"/>
    <n v="7"/>
    <x v="0"/>
    <x v="0"/>
  </r>
  <r>
    <n v="18367"/>
    <n v="120843702"/>
    <s v="Recovery"/>
    <n v="200"/>
    <s v="AHY"/>
    <s v="F"/>
    <n v="9"/>
    <n v="2019"/>
    <n v="2019"/>
    <n v="15"/>
    <x v="0"/>
    <s v="15B"/>
    <x v="11"/>
    <n v="1"/>
    <n v="7"/>
    <x v="0"/>
    <x v="0"/>
  </r>
  <r>
    <n v="18386"/>
    <n v="120843721"/>
    <s v="Recovery"/>
    <n v="200"/>
    <s v="AHY"/>
    <s v="F"/>
    <n v="1"/>
    <n v="2021"/>
    <n v="2020"/>
    <n v="16"/>
    <x v="0"/>
    <s v="16B"/>
    <x v="15"/>
    <n v="1"/>
    <n v="7"/>
    <x v="0"/>
    <x v="0"/>
  </r>
  <r>
    <n v="18391"/>
    <n v="120843726"/>
    <s v="Recovery"/>
    <n v="200"/>
    <s v="AHY"/>
    <s v="F"/>
    <n v="12"/>
    <n v="2018"/>
    <n v="2018"/>
    <n v="14"/>
    <x v="0"/>
    <s v="14B"/>
    <x v="10"/>
    <n v="1"/>
    <n v="82"/>
    <x v="15"/>
    <x v="1"/>
  </r>
  <r>
    <n v="18393"/>
    <n v="120843728"/>
    <s v="Recovery"/>
    <n v="200"/>
    <s v="AHY"/>
    <s v="F"/>
    <n v="9"/>
    <n v="2019"/>
    <n v="2019"/>
    <n v="15"/>
    <x v="0"/>
    <s v="15B"/>
    <x v="11"/>
    <n v="1"/>
    <n v="7"/>
    <x v="0"/>
    <x v="0"/>
  </r>
  <r>
    <n v="18396"/>
    <n v="120843731"/>
    <s v="Recovery"/>
    <n v="200"/>
    <s v="AHY"/>
    <s v="M"/>
    <n v="9"/>
    <n v="2019"/>
    <n v="2019"/>
    <n v="15"/>
    <x v="0"/>
    <s v="15B"/>
    <x v="11"/>
    <n v="1"/>
    <n v="7"/>
    <x v="0"/>
    <x v="0"/>
  </r>
  <r>
    <n v="18398"/>
    <n v="120843733"/>
    <s v="Recovery"/>
    <n v="200"/>
    <s v="AHY"/>
    <s v="M"/>
    <n v="1"/>
    <n v="2021"/>
    <n v="2020"/>
    <n v="16"/>
    <x v="0"/>
    <s v="16B"/>
    <x v="15"/>
    <n v="1"/>
    <n v="82"/>
    <x v="15"/>
    <x v="1"/>
  </r>
  <r>
    <n v="18400"/>
    <n v="120843735"/>
    <s v="Recovery"/>
    <n v="200"/>
    <s v="AHY"/>
    <s v="F"/>
    <n v="11"/>
    <n v="2019"/>
    <n v="2019"/>
    <n v="15"/>
    <x v="0"/>
    <s v="15B"/>
    <x v="11"/>
    <n v="1"/>
    <n v="7"/>
    <x v="0"/>
    <x v="0"/>
  </r>
  <r>
    <n v="18405"/>
    <n v="120843740"/>
    <s v="Recovery"/>
    <n v="200"/>
    <s v="AHY"/>
    <s v="M"/>
    <n v="1"/>
    <n v="2021"/>
    <n v="2020"/>
    <n v="16"/>
    <x v="0"/>
    <s v="16B"/>
    <x v="15"/>
    <n v="1"/>
    <n v="82"/>
    <x v="15"/>
    <x v="1"/>
  </r>
  <r>
    <n v="18411"/>
    <n v="120843746"/>
    <s v="Recovery"/>
    <n v="200"/>
    <s v="AHY"/>
    <s v="F"/>
    <n v="12"/>
    <n v="2019"/>
    <n v="2019"/>
    <n v="15"/>
    <x v="0"/>
    <s v="15B"/>
    <x v="11"/>
    <n v="1"/>
    <n v="82"/>
    <x v="15"/>
    <x v="1"/>
  </r>
  <r>
    <n v="18415"/>
    <n v="120843750"/>
    <s v="Recovery"/>
    <n v="200"/>
    <s v="AHY"/>
    <s v="M"/>
    <n v="9"/>
    <n v="2019"/>
    <n v="2019"/>
    <n v="15"/>
    <x v="0"/>
    <s v="15B"/>
    <x v="11"/>
    <n v="1"/>
    <n v="82"/>
    <x v="15"/>
    <x v="1"/>
  </r>
  <r>
    <n v="18421"/>
    <n v="120843756"/>
    <s v="Recovery"/>
    <n v="200"/>
    <s v="AHY"/>
    <s v="M"/>
    <n v="9"/>
    <n v="2019"/>
    <n v="2019"/>
    <n v="15"/>
    <x v="0"/>
    <s v="15B"/>
    <x v="11"/>
    <n v="1"/>
    <n v="91"/>
    <x v="5"/>
    <x v="1"/>
  </r>
  <r>
    <n v="18422"/>
    <n v="120843757"/>
    <s v="Recovery"/>
    <n v="200"/>
    <s v="AHY"/>
    <s v="M"/>
    <n v="9"/>
    <n v="2019"/>
    <n v="2019"/>
    <n v="15"/>
    <x v="0"/>
    <s v="15B"/>
    <x v="11"/>
    <n v="1"/>
    <n v="7"/>
    <x v="0"/>
    <x v="0"/>
  </r>
  <r>
    <n v="18428"/>
    <n v="120843763"/>
    <s v="Recovery"/>
    <n v="200"/>
    <s v="AHY"/>
    <s v="F"/>
    <n v="12"/>
    <n v="2020"/>
    <n v="2020"/>
    <n v="16"/>
    <x v="0"/>
    <s v="16B"/>
    <x v="15"/>
    <n v="1"/>
    <n v="82"/>
    <x v="15"/>
    <x v="1"/>
  </r>
  <r>
    <n v="18429"/>
    <n v="120843764"/>
    <s v="Recovery"/>
    <n v="200"/>
    <s v="AHY"/>
    <s v="F"/>
    <n v="12"/>
    <n v="2020"/>
    <n v="2020"/>
    <n v="16"/>
    <x v="0"/>
    <s v="16B"/>
    <x v="15"/>
    <n v="1"/>
    <n v="7"/>
    <x v="0"/>
    <x v="0"/>
  </r>
  <r>
    <n v="18430"/>
    <n v="120843765"/>
    <s v="Recovery"/>
    <n v="200"/>
    <s v="AHY"/>
    <s v="M"/>
    <n v="9"/>
    <n v="2019"/>
    <n v="2019"/>
    <n v="15"/>
    <x v="0"/>
    <s v="15B"/>
    <x v="11"/>
    <n v="1"/>
    <n v="7"/>
    <x v="0"/>
    <x v="0"/>
  </r>
  <r>
    <n v="18437"/>
    <n v="120843772"/>
    <s v="Recovery"/>
    <n v="200"/>
    <s v="AHY"/>
    <s v="F"/>
    <n v="9"/>
    <n v="2020"/>
    <n v="2020"/>
    <n v="16"/>
    <x v="0"/>
    <s v="16B"/>
    <x v="15"/>
    <n v="1"/>
    <n v="82"/>
    <x v="15"/>
    <x v="1"/>
  </r>
  <r>
    <n v="18441"/>
    <n v="120843776"/>
    <s v="Recovery"/>
    <n v="200"/>
    <s v="AHY"/>
    <s v="M"/>
    <n v="1"/>
    <n v="2019"/>
    <n v="2018"/>
    <n v="14"/>
    <x v="0"/>
    <s v="14B"/>
    <x v="10"/>
    <n v="1"/>
    <n v="82"/>
    <x v="15"/>
    <x v="1"/>
  </r>
  <r>
    <n v="18448"/>
    <n v="120843783"/>
    <s v="Recovery"/>
    <n v="200"/>
    <s v="AHY"/>
    <s v="M"/>
    <n v="9"/>
    <n v="2020"/>
    <n v="2020"/>
    <n v="16"/>
    <x v="0"/>
    <s v="16B"/>
    <x v="15"/>
    <n v="1"/>
    <n v="82"/>
    <x v="15"/>
    <x v="1"/>
  </r>
  <r>
    <n v="18460"/>
    <n v="120843795"/>
    <s v="Recovery"/>
    <n v="200"/>
    <s v="AHY"/>
    <s v="M"/>
    <n v="9"/>
    <n v="2019"/>
    <n v="2019"/>
    <n v="15"/>
    <x v="0"/>
    <s v="15B"/>
    <x v="11"/>
    <n v="1"/>
    <n v="82"/>
    <x v="15"/>
    <x v="1"/>
  </r>
  <r>
    <n v="18463"/>
    <n v="120843798"/>
    <s v="Recovery"/>
    <n v="200"/>
    <s v="AHY"/>
    <s v="M"/>
    <n v="2"/>
    <n v="2021"/>
    <n v="2020"/>
    <n v="16"/>
    <x v="0"/>
    <s v="16B"/>
    <x v="15"/>
    <n v="1"/>
    <n v="7"/>
    <x v="0"/>
    <x v="0"/>
  </r>
  <r>
    <n v="18470"/>
    <n v="120843805"/>
    <s v="Recovery"/>
    <n v="200"/>
    <s v="AHY"/>
    <s v="F"/>
    <n v="1"/>
    <n v="2020"/>
    <n v="2019"/>
    <n v="15"/>
    <x v="0"/>
    <s v="15B"/>
    <x v="11"/>
    <n v="1"/>
    <n v="82"/>
    <x v="15"/>
    <x v="1"/>
  </r>
  <r>
    <n v="18475"/>
    <n v="120843810"/>
    <s v="Recovery"/>
    <n v="200"/>
    <s v="AHY"/>
    <s v="F"/>
    <n v="1"/>
    <n v="2019"/>
    <n v="2018"/>
    <n v="14"/>
    <x v="0"/>
    <s v="14B"/>
    <x v="10"/>
    <n v="1"/>
    <n v="82"/>
    <x v="15"/>
    <x v="1"/>
  </r>
  <r>
    <n v="18484"/>
    <n v="120843819"/>
    <s v="Recovery"/>
    <n v="200"/>
    <s v="AHY"/>
    <s v="F"/>
    <n v="1"/>
    <n v="2019"/>
    <n v="2018"/>
    <n v="14"/>
    <x v="0"/>
    <s v="14B"/>
    <x v="10"/>
    <n v="1"/>
    <n v="51"/>
    <x v="21"/>
    <x v="1"/>
  </r>
  <r>
    <n v="18491"/>
    <n v="120843826"/>
    <s v="Recovery"/>
    <n v="200"/>
    <s v="AHY"/>
    <s v="F"/>
    <n v="9"/>
    <n v="2019"/>
    <n v="2019"/>
    <n v="15"/>
    <x v="0"/>
    <s v="15B"/>
    <x v="11"/>
    <n v="1"/>
    <n v="7"/>
    <x v="0"/>
    <x v="0"/>
  </r>
  <r>
    <n v="18497"/>
    <n v="120843832"/>
    <s v="Recovery"/>
    <n v="200"/>
    <s v="AHY"/>
    <s v="M"/>
    <n v="9"/>
    <n v="2019"/>
    <n v="2019"/>
    <n v="15"/>
    <x v="0"/>
    <s v="15B"/>
    <x v="11"/>
    <n v="1"/>
    <n v="7"/>
    <x v="0"/>
    <x v="0"/>
  </r>
  <r>
    <n v="18498"/>
    <n v="120843833"/>
    <s v="Recovery"/>
    <n v="200"/>
    <s v="AHY"/>
    <s v="F"/>
    <n v="1"/>
    <n v="2021"/>
    <n v="2020"/>
    <n v="16"/>
    <x v="0"/>
    <s v="16B"/>
    <x v="15"/>
    <n v="1"/>
    <n v="82"/>
    <x v="15"/>
    <x v="1"/>
  </r>
  <r>
    <n v="18505"/>
    <n v="120843840"/>
    <s v="Recovery"/>
    <n v="200"/>
    <s v="AHY"/>
    <s v="M"/>
    <n v="12"/>
    <n v="2018"/>
    <n v="2018"/>
    <n v="14"/>
    <x v="0"/>
    <s v="14B"/>
    <x v="10"/>
    <n v="1"/>
    <n v="82"/>
    <x v="15"/>
    <x v="1"/>
  </r>
  <r>
    <n v="18511"/>
    <n v="120843846"/>
    <s v="Recovery"/>
    <n v="200"/>
    <s v="AHY"/>
    <s v="M"/>
    <n v="9"/>
    <n v="2019"/>
    <n v="2019"/>
    <n v="15"/>
    <x v="0"/>
    <s v="15B"/>
    <x v="11"/>
    <n v="1"/>
    <n v="7"/>
    <x v="0"/>
    <x v="0"/>
  </r>
  <r>
    <n v="18517"/>
    <n v="120843852"/>
    <s v="Recovery"/>
    <n v="200"/>
    <s v="AHY"/>
    <s v="F"/>
    <n v="12"/>
    <n v="2018"/>
    <n v="2018"/>
    <n v="14"/>
    <x v="0"/>
    <s v="14B"/>
    <x v="10"/>
    <n v="1"/>
    <n v="82"/>
    <x v="15"/>
    <x v="1"/>
  </r>
  <r>
    <n v="18528"/>
    <n v="120843863"/>
    <s v="Recovery"/>
    <n v="200"/>
    <s v="AHY"/>
    <s v="M"/>
    <n v="12"/>
    <n v="2018"/>
    <n v="2018"/>
    <n v="14"/>
    <x v="0"/>
    <s v="14B"/>
    <x v="10"/>
    <n v="1"/>
    <n v="82"/>
    <x v="15"/>
    <x v="1"/>
  </r>
  <r>
    <n v="18539"/>
    <n v="120843874"/>
    <s v="Recovery"/>
    <n v="200"/>
    <s v="AHY"/>
    <s v="F"/>
    <n v="10"/>
    <n v="2019"/>
    <n v="2019"/>
    <n v="15"/>
    <x v="0"/>
    <s v="15B"/>
    <x v="11"/>
    <n v="1"/>
    <n v="50"/>
    <x v="3"/>
    <x v="1"/>
  </r>
  <r>
    <n v="18546"/>
    <n v="120843881"/>
    <s v="Recovery"/>
    <n v="200"/>
    <s v="AHY"/>
    <s v="F"/>
    <n v="9"/>
    <n v="2019"/>
    <n v="2019"/>
    <n v="15"/>
    <x v="0"/>
    <s v="15B"/>
    <x v="11"/>
    <n v="1"/>
    <n v="51"/>
    <x v="21"/>
    <x v="1"/>
  </r>
  <r>
    <n v="18555"/>
    <n v="120843890"/>
    <s v="Recovery"/>
    <n v="200"/>
    <s v="AHY"/>
    <s v="F"/>
    <n v="11"/>
    <n v="2019"/>
    <n v="2019"/>
    <n v="15"/>
    <x v="0"/>
    <s v="15B"/>
    <x v="11"/>
    <n v="1"/>
    <n v="52"/>
    <x v="11"/>
    <x v="1"/>
  </r>
  <r>
    <n v="18557"/>
    <n v="120843892"/>
    <s v="Recovery"/>
    <n v="200"/>
    <s v="AHY"/>
    <s v="F"/>
    <n v="9"/>
    <n v="2019"/>
    <n v="2019"/>
    <n v="15"/>
    <x v="0"/>
    <s v="15B"/>
    <x v="11"/>
    <n v="1"/>
    <n v="82"/>
    <x v="15"/>
    <x v="1"/>
  </r>
  <r>
    <n v="18566"/>
    <n v="120843901"/>
    <s v="Recovery"/>
    <n v="200"/>
    <s v="AHY"/>
    <s v="M"/>
    <n v="1"/>
    <n v="2019"/>
    <n v="2018"/>
    <n v="14"/>
    <x v="0"/>
    <s v="14B"/>
    <x v="10"/>
    <n v="1"/>
    <n v="7"/>
    <x v="0"/>
    <x v="0"/>
  </r>
  <r>
    <n v="18567"/>
    <n v="120843902"/>
    <s v="Recovery"/>
    <n v="200"/>
    <s v="AHY"/>
    <s v="M"/>
    <n v="10"/>
    <n v="2020"/>
    <n v="2020"/>
    <n v="16"/>
    <x v="0"/>
    <s v="16B"/>
    <x v="15"/>
    <n v="1"/>
    <n v="82"/>
    <x v="15"/>
    <x v="1"/>
  </r>
  <r>
    <n v="18570"/>
    <n v="120843905"/>
    <s v="Recovery"/>
    <n v="200"/>
    <s v="AHY"/>
    <s v="M"/>
    <n v="1"/>
    <n v="2020"/>
    <n v="2019"/>
    <n v="15"/>
    <x v="0"/>
    <s v="15B"/>
    <x v="11"/>
    <n v="1"/>
    <n v="82"/>
    <x v="15"/>
    <x v="1"/>
  </r>
  <r>
    <n v="18571"/>
    <n v="120843906"/>
    <s v="Recovery"/>
    <n v="200"/>
    <s v="AHY"/>
    <s v="F"/>
    <n v="9"/>
    <n v="2019"/>
    <n v="2019"/>
    <n v="15"/>
    <x v="0"/>
    <s v="15B"/>
    <x v="11"/>
    <n v="1"/>
    <n v="7"/>
    <x v="0"/>
    <x v="0"/>
  </r>
  <r>
    <n v="18574"/>
    <n v="120843909"/>
    <s v="Recovery"/>
    <n v="200"/>
    <s v="AHY"/>
    <s v="M"/>
    <n v="9"/>
    <n v="2019"/>
    <n v="2019"/>
    <n v="15"/>
    <x v="0"/>
    <s v="15B"/>
    <x v="11"/>
    <n v="1"/>
    <n v="7"/>
    <x v="0"/>
    <x v="0"/>
  </r>
  <r>
    <n v="18575"/>
    <n v="120843910"/>
    <s v="Recovery"/>
    <n v="200"/>
    <s v="AHY"/>
    <s v="M"/>
    <n v="1"/>
    <n v="2020"/>
    <n v="2019"/>
    <n v="15"/>
    <x v="0"/>
    <s v="15B"/>
    <x v="11"/>
    <n v="1"/>
    <n v="82"/>
    <x v="15"/>
    <x v="1"/>
  </r>
  <r>
    <n v="18582"/>
    <n v="120843917"/>
    <s v="Recovery"/>
    <n v="200"/>
    <s v="AHY"/>
    <s v="F"/>
    <n v="9"/>
    <n v="2019"/>
    <n v="2019"/>
    <n v="15"/>
    <x v="0"/>
    <s v="15B"/>
    <x v="11"/>
    <n v="1"/>
    <n v="7"/>
    <x v="0"/>
    <x v="0"/>
  </r>
  <r>
    <n v="18586"/>
    <n v="120843921"/>
    <s v="Recovery"/>
    <n v="200"/>
    <s v="AHY"/>
    <s v="F"/>
    <n v="9"/>
    <n v="2020"/>
    <n v="2020"/>
    <n v="16"/>
    <x v="0"/>
    <s v="16B"/>
    <x v="15"/>
    <n v="1"/>
    <n v="82"/>
    <x v="15"/>
    <x v="1"/>
  </r>
  <r>
    <n v="18594"/>
    <n v="120843929"/>
    <s v="Recovery"/>
    <n v="200"/>
    <s v="AHY"/>
    <s v="M"/>
    <n v="1"/>
    <n v="2019"/>
    <n v="2018"/>
    <n v="14"/>
    <x v="0"/>
    <s v="14B"/>
    <x v="10"/>
    <n v="1"/>
    <n v="82"/>
    <x v="15"/>
    <x v="1"/>
  </r>
  <r>
    <n v="18602"/>
    <n v="120843937"/>
    <s v="Recovery"/>
    <n v="200"/>
    <s v="AHY"/>
    <s v="M"/>
    <n v="1"/>
    <n v="2021"/>
    <n v="2020"/>
    <n v="16"/>
    <x v="0"/>
    <s v="16B"/>
    <x v="15"/>
    <n v="1"/>
    <n v="82"/>
    <x v="15"/>
    <x v="1"/>
  </r>
  <r>
    <n v="18603"/>
    <n v="120843938"/>
    <s v="Recovery"/>
    <n v="200"/>
    <s v="AHY"/>
    <s v="M"/>
    <n v="9"/>
    <n v="2020"/>
    <n v="2020"/>
    <n v="16"/>
    <x v="0"/>
    <s v="16B"/>
    <x v="15"/>
    <n v="1"/>
    <n v="82"/>
    <x v="15"/>
    <x v="1"/>
  </r>
  <r>
    <n v="18621"/>
    <n v="120843956"/>
    <s v="Recovery"/>
    <n v="200"/>
    <s v="AHY"/>
    <s v="F"/>
    <n v="12"/>
    <n v="2019"/>
    <n v="2019"/>
    <n v="15"/>
    <x v="0"/>
    <s v="15B"/>
    <x v="11"/>
    <n v="1"/>
    <n v="82"/>
    <x v="15"/>
    <x v="1"/>
  </r>
  <r>
    <n v="18627"/>
    <n v="120843962"/>
    <s v="Recovery"/>
    <n v="200"/>
    <s v="AHY"/>
    <s v="M"/>
    <n v="1"/>
    <n v="2020"/>
    <n v="2019"/>
    <n v="15"/>
    <x v="0"/>
    <s v="15B"/>
    <x v="11"/>
    <n v="1"/>
    <n v="7"/>
    <x v="0"/>
    <x v="0"/>
  </r>
  <r>
    <n v="18637"/>
    <n v="120843972"/>
    <s v="Recovery"/>
    <n v="200"/>
    <s v="AHY"/>
    <s v="F"/>
    <n v="1"/>
    <n v="2021"/>
    <n v="2020"/>
    <n v="16"/>
    <x v="0"/>
    <s v="16B"/>
    <x v="15"/>
    <n v="1"/>
    <n v="82"/>
    <x v="15"/>
    <x v="1"/>
  </r>
  <r>
    <n v="18643"/>
    <n v="120843978"/>
    <s v="Recovery"/>
    <n v="200"/>
    <s v="AHY"/>
    <s v="F"/>
    <n v="12"/>
    <n v="2019"/>
    <n v="2019"/>
    <n v="15"/>
    <x v="0"/>
    <s v="15B"/>
    <x v="11"/>
    <n v="1"/>
    <n v="82"/>
    <x v="15"/>
    <x v="1"/>
  </r>
  <r>
    <n v="18648"/>
    <n v="120843983"/>
    <s v="Recovery"/>
    <n v="200"/>
    <s v="AHY"/>
    <s v="M"/>
    <n v="1"/>
    <n v="2019"/>
    <n v="2018"/>
    <n v="14"/>
    <x v="0"/>
    <s v="14B"/>
    <x v="10"/>
    <n v="1"/>
    <n v="7"/>
    <x v="0"/>
    <x v="0"/>
  </r>
  <r>
    <n v="18653"/>
    <n v="120843988"/>
    <s v="Recovery"/>
    <n v="200"/>
    <s v="AHY"/>
    <s v="F"/>
    <n v="9"/>
    <n v="2018"/>
    <n v="2018"/>
    <n v="14"/>
    <x v="0"/>
    <s v="14B"/>
    <x v="10"/>
    <n v="1"/>
    <n v="7"/>
    <x v="0"/>
    <x v="0"/>
  </r>
  <r>
    <n v="18657"/>
    <n v="120843992"/>
    <s v="Recovery"/>
    <n v="200"/>
    <s v="AHY"/>
    <s v="M"/>
    <n v="9"/>
    <n v="2020"/>
    <n v="2020"/>
    <n v="16"/>
    <x v="0"/>
    <s v="16B"/>
    <x v="15"/>
    <n v="1"/>
    <n v="7"/>
    <x v="0"/>
    <x v="0"/>
  </r>
  <r>
    <n v="18666"/>
    <n v="120844001"/>
    <s v="Recovery"/>
    <n v="200"/>
    <s v="AHY"/>
    <s v="F"/>
    <n v="9"/>
    <n v="2018"/>
    <n v="2018"/>
    <n v="14"/>
    <x v="0"/>
    <s v="14B"/>
    <x v="10"/>
    <n v="1"/>
    <n v="7"/>
    <x v="0"/>
    <x v="0"/>
  </r>
  <r>
    <n v="18668"/>
    <n v="120844003"/>
    <s v="Recovery"/>
    <n v="200"/>
    <s v="AHY"/>
    <s v="M"/>
    <n v="1"/>
    <n v="2019"/>
    <n v="2018"/>
    <n v="14"/>
    <x v="0"/>
    <s v="14B"/>
    <x v="10"/>
    <n v="1"/>
    <n v="7"/>
    <x v="0"/>
    <x v="0"/>
  </r>
  <r>
    <n v="18669"/>
    <n v="120844004"/>
    <s v="Recovery"/>
    <n v="200"/>
    <s v="AHY"/>
    <s v="M"/>
    <n v="9"/>
    <n v="2019"/>
    <n v="2019"/>
    <n v="15"/>
    <x v="0"/>
    <s v="15B"/>
    <x v="11"/>
    <n v="1"/>
    <n v="7"/>
    <x v="0"/>
    <x v="0"/>
  </r>
  <r>
    <n v="18681"/>
    <n v="120844016"/>
    <s v="Recovery"/>
    <n v="200"/>
    <s v="AHY"/>
    <s v="F"/>
    <n v="1"/>
    <n v="2019"/>
    <n v="2018"/>
    <n v="14"/>
    <x v="0"/>
    <s v="14B"/>
    <x v="10"/>
    <n v="1"/>
    <n v="7"/>
    <x v="0"/>
    <x v="0"/>
  </r>
  <r>
    <n v="18713"/>
    <n v="120844048"/>
    <s v="Recovery"/>
    <n v="200"/>
    <s v="AHY"/>
    <s v="M"/>
    <n v="9"/>
    <n v="2018"/>
    <n v="2018"/>
    <n v="14"/>
    <x v="0"/>
    <s v="14B"/>
    <x v="10"/>
    <n v="1"/>
    <n v="7"/>
    <x v="0"/>
    <x v="0"/>
  </r>
  <r>
    <n v="18726"/>
    <n v="120844061"/>
    <s v="Recovery"/>
    <n v="200"/>
    <s v="AHY"/>
    <s v="F"/>
    <n v="9"/>
    <n v="2018"/>
    <n v="2018"/>
    <n v="14"/>
    <x v="0"/>
    <s v="14B"/>
    <x v="10"/>
    <n v="1"/>
    <n v="7"/>
    <x v="0"/>
    <x v="0"/>
  </r>
  <r>
    <n v="18734"/>
    <n v="120844069"/>
    <s v="Recovery"/>
    <n v="200"/>
    <s v="AHY"/>
    <s v="M"/>
    <n v="9"/>
    <n v="2019"/>
    <n v="2019"/>
    <n v="15"/>
    <x v="0"/>
    <s v="15B"/>
    <x v="11"/>
    <n v="1"/>
    <n v="7"/>
    <x v="0"/>
    <x v="0"/>
  </r>
  <r>
    <n v="18742"/>
    <n v="120844077"/>
    <s v="Recovery"/>
    <n v="200"/>
    <s v="AHY"/>
    <s v="F"/>
    <n v="9"/>
    <n v="2019"/>
    <n v="2019"/>
    <n v="15"/>
    <x v="0"/>
    <s v="15B"/>
    <x v="11"/>
    <n v="1"/>
    <n v="7"/>
    <x v="0"/>
    <x v="0"/>
  </r>
  <r>
    <n v="18744"/>
    <n v="120844079"/>
    <s v="Recovery"/>
    <n v="200"/>
    <s v="AHY"/>
    <s v="M"/>
    <n v="9"/>
    <n v="2018"/>
    <n v="2018"/>
    <n v="14"/>
    <x v="0"/>
    <s v="14B"/>
    <x v="10"/>
    <n v="1"/>
    <n v="7"/>
    <x v="0"/>
    <x v="0"/>
  </r>
  <r>
    <n v="18747"/>
    <n v="120844082"/>
    <s v="Recovery"/>
    <n v="200"/>
    <s v="AHY"/>
    <s v="F"/>
    <n v="1"/>
    <n v="2020"/>
    <n v="2019"/>
    <n v="15"/>
    <x v="0"/>
    <s v="15B"/>
    <x v="11"/>
    <n v="1"/>
    <n v="7"/>
    <x v="0"/>
    <x v="0"/>
  </r>
  <r>
    <n v="18775"/>
    <n v="120844110"/>
    <s v="Recovery"/>
    <n v="200"/>
    <s v="AHY"/>
    <s v="M"/>
    <n v="9"/>
    <n v="2019"/>
    <n v="2019"/>
    <n v="15"/>
    <x v="0"/>
    <s v="15B"/>
    <x v="11"/>
    <n v="1"/>
    <n v="7"/>
    <x v="0"/>
    <x v="0"/>
  </r>
  <r>
    <n v="18777"/>
    <n v="120844112"/>
    <s v="Recovery"/>
    <n v="200"/>
    <s v="AHY"/>
    <s v="M"/>
    <n v="12"/>
    <n v="2019"/>
    <n v="2019"/>
    <n v="15"/>
    <x v="0"/>
    <s v="15B"/>
    <x v="11"/>
    <n v="1"/>
    <n v="7"/>
    <x v="0"/>
    <x v="0"/>
  </r>
  <r>
    <n v="18779"/>
    <n v="120844114"/>
    <s v="Recovery"/>
    <n v="200"/>
    <s v="AHY"/>
    <s v="M"/>
    <n v="9"/>
    <n v="2019"/>
    <n v="2019"/>
    <n v="15"/>
    <x v="0"/>
    <s v="15B"/>
    <x v="11"/>
    <n v="1"/>
    <n v="7"/>
    <x v="0"/>
    <x v="0"/>
  </r>
  <r>
    <n v="18785"/>
    <n v="120844120"/>
    <s v="Recovery"/>
    <n v="200"/>
    <s v="AHY"/>
    <s v="F"/>
    <n v="9"/>
    <n v="2020"/>
    <n v="2020"/>
    <n v="16"/>
    <x v="0"/>
    <s v="16B"/>
    <x v="15"/>
    <n v="1"/>
    <n v="7"/>
    <x v="0"/>
    <x v="0"/>
  </r>
  <r>
    <n v="18799"/>
    <n v="120844812"/>
    <s v="Recovery"/>
    <n v="200"/>
    <s v="AHY"/>
    <s v="M"/>
    <n v="1"/>
    <n v="2020"/>
    <n v="2019"/>
    <n v="15"/>
    <x v="0"/>
    <s v="15B"/>
    <x v="11"/>
    <n v="1"/>
    <n v="7"/>
    <x v="0"/>
    <x v="0"/>
  </r>
  <r>
    <n v="18804"/>
    <n v="120844817"/>
    <s v="Recovery"/>
    <n v="200"/>
    <s v="AHY"/>
    <s v="F"/>
    <n v="1"/>
    <n v="2021"/>
    <n v="2020"/>
    <n v="16"/>
    <x v="0"/>
    <s v="16B"/>
    <x v="15"/>
    <n v="1"/>
    <n v="7"/>
    <x v="0"/>
    <x v="0"/>
  </r>
  <r>
    <n v="18806"/>
    <n v="120844819"/>
    <s v="Recovery"/>
    <n v="200"/>
    <s v="AHY"/>
    <s v="F"/>
    <n v="1"/>
    <n v="2019"/>
    <n v="2018"/>
    <n v="14"/>
    <x v="0"/>
    <s v="14B"/>
    <x v="10"/>
    <n v="1"/>
    <n v="7"/>
    <x v="0"/>
    <x v="0"/>
  </r>
  <r>
    <n v="18811"/>
    <n v="120844824"/>
    <s v="Recovery"/>
    <n v="200"/>
    <s v="AHY"/>
    <s v="F"/>
    <n v="1"/>
    <n v="2020"/>
    <n v="2019"/>
    <n v="15"/>
    <x v="0"/>
    <s v="15B"/>
    <x v="11"/>
    <n v="1"/>
    <n v="7"/>
    <x v="0"/>
    <x v="0"/>
  </r>
  <r>
    <n v="18818"/>
    <n v="120844831"/>
    <s v="Recovery"/>
    <n v="200"/>
    <s v="AHY"/>
    <s v="M"/>
    <n v="1"/>
    <n v="2019"/>
    <n v="2018"/>
    <n v="14"/>
    <x v="0"/>
    <s v="14B"/>
    <x v="10"/>
    <n v="1"/>
    <n v="7"/>
    <x v="0"/>
    <x v="0"/>
  </r>
  <r>
    <n v="18824"/>
    <n v="120844837"/>
    <s v="Recovery"/>
    <n v="200"/>
    <s v="HY"/>
    <s v="F"/>
    <n v="9"/>
    <n v="2018"/>
    <n v="2018"/>
    <n v="14"/>
    <x v="0"/>
    <s v="14B"/>
    <x v="10"/>
    <n v="1"/>
    <n v="7"/>
    <x v="0"/>
    <x v="0"/>
  </r>
  <r>
    <n v="18835"/>
    <n v="120844848"/>
    <s v="Recovery"/>
    <n v="200"/>
    <s v="AHY"/>
    <s v="M"/>
    <n v="1"/>
    <n v="2019"/>
    <n v="2018"/>
    <n v="14"/>
    <x v="0"/>
    <s v="14B"/>
    <x v="10"/>
    <n v="1"/>
    <n v="7"/>
    <x v="0"/>
    <x v="0"/>
  </r>
  <r>
    <n v="18837"/>
    <n v="120844850"/>
    <s v="Recovery"/>
    <n v="200"/>
    <s v="AHY"/>
    <s v="F"/>
    <n v="9"/>
    <n v="2018"/>
    <n v="2018"/>
    <n v="14"/>
    <x v="0"/>
    <s v="14B"/>
    <x v="10"/>
    <n v="1"/>
    <n v="7"/>
    <x v="0"/>
    <x v="0"/>
  </r>
  <r>
    <n v="18839"/>
    <n v="120844852"/>
    <s v="Recovery"/>
    <n v="200"/>
    <s v="AHY"/>
    <s v="F"/>
    <n v="1"/>
    <n v="2019"/>
    <n v="2018"/>
    <n v="14"/>
    <x v="0"/>
    <s v="14B"/>
    <x v="10"/>
    <n v="1"/>
    <n v="7"/>
    <x v="0"/>
    <x v="0"/>
  </r>
  <r>
    <n v="18842"/>
    <n v="120844855"/>
    <s v="Recovery"/>
    <n v="200"/>
    <s v="AHY"/>
    <s v="M"/>
    <n v="1"/>
    <n v="2020"/>
    <n v="2019"/>
    <n v="15"/>
    <x v="0"/>
    <s v="15B"/>
    <x v="11"/>
    <n v="1"/>
    <n v="7"/>
    <x v="0"/>
    <x v="0"/>
  </r>
  <r>
    <n v="18843"/>
    <n v="120844856"/>
    <s v="Recovery"/>
    <n v="200"/>
    <s v="AHY"/>
    <s v="F"/>
    <n v="11"/>
    <n v="2019"/>
    <n v="2019"/>
    <n v="15"/>
    <x v="0"/>
    <s v="15B"/>
    <x v="11"/>
    <n v="1"/>
    <n v="7"/>
    <x v="0"/>
    <x v="0"/>
  </r>
  <r>
    <n v="18846"/>
    <n v="120844859"/>
    <s v="Recovery"/>
    <n v="200"/>
    <s v="HY"/>
    <s v="F"/>
    <n v="1"/>
    <n v="2019"/>
    <n v="2018"/>
    <n v="14"/>
    <x v="0"/>
    <s v="14B"/>
    <x v="10"/>
    <n v="1"/>
    <n v="7"/>
    <x v="0"/>
    <x v="0"/>
  </r>
  <r>
    <n v="18847"/>
    <n v="120844860"/>
    <s v="Recovery"/>
    <n v="200"/>
    <s v="HY"/>
    <s v="F"/>
    <n v="1"/>
    <n v="2019"/>
    <n v="2018"/>
    <n v="14"/>
    <x v="0"/>
    <s v="14B"/>
    <x v="10"/>
    <n v="1"/>
    <n v="7"/>
    <x v="0"/>
    <x v="0"/>
  </r>
  <r>
    <n v="18850"/>
    <n v="120844124"/>
    <s v="Recovery"/>
    <n v="200"/>
    <s v="AHY"/>
    <s v="M"/>
    <n v="12"/>
    <n v="2019"/>
    <n v="2019"/>
    <n v="15"/>
    <x v="0"/>
    <s v="15B"/>
    <x v="11"/>
    <n v="1"/>
    <n v="7"/>
    <x v="0"/>
    <x v="0"/>
  </r>
  <r>
    <n v="18854"/>
    <n v="120844128"/>
    <s v="Recovery"/>
    <n v="200"/>
    <s v="AHY"/>
    <s v="M"/>
    <n v="2"/>
    <n v="2021"/>
    <n v="2020"/>
    <n v="16"/>
    <x v="0"/>
    <s v="16B"/>
    <x v="15"/>
    <n v="1"/>
    <n v="7"/>
    <x v="0"/>
    <x v="0"/>
  </r>
  <r>
    <n v="18855"/>
    <n v="120844129"/>
    <s v="Recovery"/>
    <n v="200"/>
    <s v="AHY"/>
    <s v="M"/>
    <n v="1"/>
    <n v="2020"/>
    <n v="2019"/>
    <n v="15"/>
    <x v="0"/>
    <s v="15B"/>
    <x v="11"/>
    <n v="1"/>
    <n v="7"/>
    <x v="0"/>
    <x v="0"/>
  </r>
  <r>
    <n v="18856"/>
    <n v="120844130"/>
    <s v="Recovery"/>
    <n v="200"/>
    <s v="AHY"/>
    <s v="F"/>
    <n v="1"/>
    <n v="2021"/>
    <n v="2020"/>
    <n v="16"/>
    <x v="0"/>
    <s v="16B"/>
    <x v="15"/>
    <n v="1"/>
    <n v="7"/>
    <x v="0"/>
    <x v="0"/>
  </r>
  <r>
    <n v="18867"/>
    <n v="120844141"/>
    <s v="Recovery"/>
    <n v="200"/>
    <s v="AHY"/>
    <s v="M"/>
    <n v="1"/>
    <n v="2020"/>
    <n v="2019"/>
    <n v="15"/>
    <x v="0"/>
    <s v="15B"/>
    <x v="11"/>
    <n v="1"/>
    <n v="7"/>
    <x v="0"/>
    <x v="0"/>
  </r>
  <r>
    <n v="18873"/>
    <n v="120844147"/>
    <s v="Recovery"/>
    <n v="200"/>
    <s v="AHY"/>
    <s v="M"/>
    <n v="9"/>
    <n v="2019"/>
    <n v="2019"/>
    <n v="15"/>
    <x v="0"/>
    <s v="15B"/>
    <x v="11"/>
    <n v="1"/>
    <n v="7"/>
    <x v="0"/>
    <x v="0"/>
  </r>
  <r>
    <n v="18882"/>
    <n v="120844156"/>
    <s v="Recovery"/>
    <n v="200"/>
    <s v="AHY"/>
    <s v="M"/>
    <n v="10"/>
    <n v="2019"/>
    <n v="2019"/>
    <n v="15"/>
    <x v="0"/>
    <s v="15B"/>
    <x v="11"/>
    <n v="1"/>
    <n v="91"/>
    <x v="5"/>
    <x v="1"/>
  </r>
  <r>
    <n v="18888"/>
    <n v="120844162"/>
    <s v="Recovery"/>
    <n v="200"/>
    <s v="AHY"/>
    <s v="M"/>
    <n v="12"/>
    <n v="2019"/>
    <n v="2019"/>
    <n v="15"/>
    <x v="0"/>
    <s v="15B"/>
    <x v="11"/>
    <n v="1"/>
    <n v="7"/>
    <x v="0"/>
    <x v="0"/>
  </r>
  <r>
    <n v="18903"/>
    <n v="120844177"/>
    <s v="Recovery"/>
    <n v="200"/>
    <s v="AHY"/>
    <s v="F"/>
    <n v="12"/>
    <n v="2020"/>
    <n v="2020"/>
    <n v="16"/>
    <x v="0"/>
    <s v="16B"/>
    <x v="15"/>
    <n v="1"/>
    <n v="7"/>
    <x v="0"/>
    <x v="0"/>
  </r>
  <r>
    <n v="18905"/>
    <n v="120844179"/>
    <s v="Recovery"/>
    <n v="200"/>
    <s v="AHY"/>
    <s v="F"/>
    <n v="1"/>
    <n v="2021"/>
    <n v="2020"/>
    <n v="16"/>
    <x v="0"/>
    <s v="16B"/>
    <x v="15"/>
    <n v="1"/>
    <n v="7"/>
    <x v="0"/>
    <x v="0"/>
  </r>
  <r>
    <n v="18907"/>
    <n v="120844181"/>
    <s v="Recovery"/>
    <n v="200"/>
    <s v="AHY"/>
    <s v="M"/>
    <n v="1"/>
    <n v="2020"/>
    <n v="2019"/>
    <n v="15"/>
    <x v="0"/>
    <s v="15B"/>
    <x v="11"/>
    <n v="1"/>
    <n v="7"/>
    <x v="0"/>
    <x v="0"/>
  </r>
  <r>
    <n v="18909"/>
    <n v="120844183"/>
    <s v="Recovery"/>
    <n v="200"/>
    <s v="AHY"/>
    <s v="M"/>
    <n v="1"/>
    <n v="2021"/>
    <n v="2020"/>
    <n v="16"/>
    <x v="0"/>
    <s v="16B"/>
    <x v="15"/>
    <n v="1"/>
    <n v="7"/>
    <x v="0"/>
    <x v="0"/>
  </r>
  <r>
    <n v="18914"/>
    <n v="120844188"/>
    <s v="Recovery"/>
    <n v="200"/>
    <s v="AHY"/>
    <s v="M"/>
    <n v="1"/>
    <n v="2020"/>
    <n v="2019"/>
    <n v="15"/>
    <x v="0"/>
    <s v="15B"/>
    <x v="11"/>
    <n v="1"/>
    <n v="7"/>
    <x v="0"/>
    <x v="0"/>
  </r>
  <r>
    <n v="18922"/>
    <n v="120844196"/>
    <s v="Recovery"/>
    <n v="200"/>
    <s v="AHY"/>
    <s v="F"/>
    <n v="1"/>
    <n v="2020"/>
    <n v="2019"/>
    <n v="15"/>
    <x v="0"/>
    <s v="15B"/>
    <x v="11"/>
    <n v="1"/>
    <n v="7"/>
    <x v="0"/>
    <x v="0"/>
  </r>
  <r>
    <n v="18956"/>
    <n v="120844230"/>
    <s v="Recovery"/>
    <n v="200"/>
    <s v="AHY"/>
    <s v="M"/>
    <n v="9"/>
    <n v="2019"/>
    <n v="2019"/>
    <n v="15"/>
    <x v="0"/>
    <s v="15B"/>
    <x v="11"/>
    <n v="1"/>
    <n v="7"/>
    <x v="0"/>
    <x v="0"/>
  </r>
  <r>
    <n v="18962"/>
    <n v="120844236"/>
    <s v="Recovery"/>
    <n v="200"/>
    <s v="AHY"/>
    <s v="M"/>
    <n v="1"/>
    <n v="2021"/>
    <n v="2020"/>
    <n v="16"/>
    <x v="0"/>
    <s v="16B"/>
    <x v="15"/>
    <n v="1"/>
    <n v="7"/>
    <x v="0"/>
    <x v="0"/>
  </r>
  <r>
    <n v="18963"/>
    <n v="120844237"/>
    <s v="Recovery"/>
    <n v="200"/>
    <s v="AHY"/>
    <s v="F"/>
    <n v="1"/>
    <n v="2020"/>
    <n v="2019"/>
    <n v="15"/>
    <x v="0"/>
    <s v="15B"/>
    <x v="11"/>
    <n v="1"/>
    <n v="7"/>
    <x v="0"/>
    <x v="0"/>
  </r>
  <r>
    <n v="18965"/>
    <n v="120844239"/>
    <s v="Recovery"/>
    <n v="200"/>
    <s v="AHY"/>
    <s v="M"/>
    <n v="1"/>
    <n v="2021"/>
    <n v="2020"/>
    <n v="16"/>
    <x v="0"/>
    <s v="16B"/>
    <x v="15"/>
    <n v="1"/>
    <n v="7"/>
    <x v="0"/>
    <x v="0"/>
  </r>
  <r>
    <n v="18969"/>
    <n v="120844243"/>
    <s v="Recovery"/>
    <n v="200"/>
    <s v="AHY"/>
    <s v="F"/>
    <n v="1"/>
    <n v="2021"/>
    <n v="2020"/>
    <n v="16"/>
    <x v="0"/>
    <s v="16B"/>
    <x v="15"/>
    <n v="1"/>
    <n v="7"/>
    <x v="0"/>
    <x v="0"/>
  </r>
  <r>
    <n v="18973"/>
    <n v="120844247"/>
    <s v="Recovery"/>
    <n v="200"/>
    <s v="AHY"/>
    <s v="F"/>
    <n v="1"/>
    <n v="2020"/>
    <n v="2019"/>
    <n v="15"/>
    <x v="0"/>
    <s v="15B"/>
    <x v="11"/>
    <n v="1"/>
    <n v="7"/>
    <x v="0"/>
    <x v="0"/>
  </r>
  <r>
    <n v="18975"/>
    <n v="120844249"/>
    <s v="Recovery"/>
    <n v="200"/>
    <s v="AHY"/>
    <s v="F"/>
    <n v="1"/>
    <n v="2021"/>
    <n v="2020"/>
    <n v="16"/>
    <x v="0"/>
    <s v="16B"/>
    <x v="15"/>
    <n v="1"/>
    <n v="7"/>
    <x v="0"/>
    <x v="0"/>
  </r>
  <r>
    <n v="18978"/>
    <n v="120844252"/>
    <s v="Recovery"/>
    <n v="200"/>
    <s v="AHY"/>
    <s v="M"/>
    <n v="1"/>
    <n v="2021"/>
    <n v="2020"/>
    <n v="16"/>
    <x v="0"/>
    <s v="16B"/>
    <x v="15"/>
    <n v="1"/>
    <n v="7"/>
    <x v="0"/>
    <x v="0"/>
  </r>
  <r>
    <n v="18982"/>
    <n v="120844256"/>
    <s v="Recovery"/>
    <n v="200"/>
    <s v="AHY"/>
    <s v="F"/>
    <n v="1"/>
    <n v="2020"/>
    <n v="2019"/>
    <n v="15"/>
    <x v="0"/>
    <s v="15B"/>
    <x v="11"/>
    <n v="1"/>
    <n v="7"/>
    <x v="0"/>
    <x v="0"/>
  </r>
  <r>
    <n v="18985"/>
    <n v="120844259"/>
    <s v="Recovery"/>
    <n v="200"/>
    <s v="AHY"/>
    <s v="F"/>
    <n v="9"/>
    <n v="2020"/>
    <n v="2020"/>
    <n v="16"/>
    <x v="0"/>
    <s v="16B"/>
    <x v="15"/>
    <n v="1"/>
    <n v="7"/>
    <x v="0"/>
    <x v="0"/>
  </r>
  <r>
    <n v="18987"/>
    <n v="120844261"/>
    <s v="Recovery"/>
    <n v="200"/>
    <s v="AHY"/>
    <s v="M"/>
    <n v="9"/>
    <n v="2019"/>
    <n v="2019"/>
    <n v="15"/>
    <x v="0"/>
    <s v="15B"/>
    <x v="11"/>
    <n v="1"/>
    <n v="7"/>
    <x v="0"/>
    <x v="0"/>
  </r>
  <r>
    <n v="18994"/>
    <n v="120844268"/>
    <s v="Recovery"/>
    <n v="200"/>
    <s v="AHY"/>
    <s v="M"/>
    <n v="1"/>
    <n v="2021"/>
    <n v="2020"/>
    <n v="16"/>
    <x v="0"/>
    <s v="16B"/>
    <x v="15"/>
    <n v="1"/>
    <n v="7"/>
    <x v="0"/>
    <x v="0"/>
  </r>
  <r>
    <n v="18996"/>
    <n v="120844270"/>
    <s v="Recovery"/>
    <n v="200"/>
    <s v="AHY"/>
    <s v="F"/>
    <n v="12"/>
    <n v="2019"/>
    <n v="2019"/>
    <n v="15"/>
    <x v="0"/>
    <s v="15B"/>
    <x v="11"/>
    <n v="1"/>
    <n v="7"/>
    <x v="0"/>
    <x v="0"/>
  </r>
  <r>
    <n v="19003"/>
    <n v="120844277"/>
    <s v="Recovery"/>
    <n v="200"/>
    <s v="AHY"/>
    <s v="M"/>
    <n v="1"/>
    <n v="2021"/>
    <n v="2020"/>
    <n v="16"/>
    <x v="0"/>
    <s v="16B"/>
    <x v="15"/>
    <n v="1"/>
    <n v="7"/>
    <x v="0"/>
    <x v="0"/>
  </r>
  <r>
    <n v="19010"/>
    <n v="120844284"/>
    <s v="Recovery"/>
    <n v="200"/>
    <s v="AHY"/>
    <s v="M"/>
    <n v="1"/>
    <n v="2021"/>
    <n v="2020"/>
    <n v="16"/>
    <x v="0"/>
    <s v="16B"/>
    <x v="15"/>
    <n v="1"/>
    <n v="7"/>
    <x v="0"/>
    <x v="0"/>
  </r>
  <r>
    <n v="19014"/>
    <n v="120844288"/>
    <s v="Recovery"/>
    <n v="200"/>
    <s v="AHY"/>
    <s v="F"/>
    <n v="1"/>
    <n v="2020"/>
    <n v="2019"/>
    <n v="15"/>
    <x v="0"/>
    <s v="15B"/>
    <x v="11"/>
    <n v="1"/>
    <n v="7"/>
    <x v="0"/>
    <x v="0"/>
  </r>
  <r>
    <n v="19020"/>
    <n v="120844294"/>
    <s v="Recovery"/>
    <n v="200"/>
    <s v="AHY"/>
    <s v="M"/>
    <n v="9"/>
    <n v="2020"/>
    <n v="2020"/>
    <n v="16"/>
    <x v="0"/>
    <s v="16B"/>
    <x v="15"/>
    <n v="1"/>
    <n v="7"/>
    <x v="0"/>
    <x v="0"/>
  </r>
  <r>
    <n v="19023"/>
    <n v="120844297"/>
    <s v="Recovery"/>
    <n v="200"/>
    <s v="AHY"/>
    <s v="F"/>
    <n v="1"/>
    <n v="2020"/>
    <n v="2019"/>
    <n v="15"/>
    <x v="0"/>
    <s v="15B"/>
    <x v="11"/>
    <n v="1"/>
    <n v="7"/>
    <x v="0"/>
    <x v="0"/>
  </r>
  <r>
    <n v="19025"/>
    <n v="120844299"/>
    <s v="Recovery"/>
    <n v="200"/>
    <s v="AHY"/>
    <s v="F"/>
    <n v="12"/>
    <n v="2020"/>
    <n v="2020"/>
    <n v="16"/>
    <x v="0"/>
    <s v="16B"/>
    <x v="15"/>
    <n v="1"/>
    <n v="7"/>
    <x v="0"/>
    <x v="0"/>
  </r>
  <r>
    <n v="19029"/>
    <n v="120844303"/>
    <s v="Recovery"/>
    <n v="200"/>
    <s v="AHY"/>
    <s v="F"/>
    <n v="12"/>
    <n v="2020"/>
    <n v="2020"/>
    <n v="16"/>
    <x v="0"/>
    <s v="16B"/>
    <x v="15"/>
    <n v="1"/>
    <n v="7"/>
    <x v="0"/>
    <x v="0"/>
  </r>
  <r>
    <n v="19030"/>
    <n v="120844304"/>
    <s v="Recovery"/>
    <n v="200"/>
    <s v="AHY"/>
    <s v="M"/>
    <n v="1"/>
    <n v="2021"/>
    <n v="2020"/>
    <n v="16"/>
    <x v="0"/>
    <s v="16B"/>
    <x v="15"/>
    <n v="1"/>
    <n v="7"/>
    <x v="0"/>
    <x v="0"/>
  </r>
  <r>
    <n v="19031"/>
    <n v="120844305"/>
    <s v="Recovery"/>
    <n v="200"/>
    <s v="HY"/>
    <s v="F"/>
    <n v="1"/>
    <n v="2020"/>
    <n v="2019"/>
    <n v="15"/>
    <x v="0"/>
    <s v="15B"/>
    <x v="11"/>
    <n v="1"/>
    <n v="7"/>
    <x v="0"/>
    <x v="0"/>
  </r>
  <r>
    <n v="19032"/>
    <n v="120844306"/>
    <s v="Recovery"/>
    <n v="200"/>
    <s v="AHY"/>
    <s v="F"/>
    <n v="12"/>
    <n v="2019"/>
    <n v="2019"/>
    <n v="15"/>
    <x v="0"/>
    <s v="15B"/>
    <x v="11"/>
    <n v="1"/>
    <n v="7"/>
    <x v="0"/>
    <x v="0"/>
  </r>
  <r>
    <n v="19033"/>
    <n v="120844307"/>
    <s v="Recovery"/>
    <n v="200"/>
    <s v="AHY"/>
    <s v="M"/>
    <n v="12"/>
    <n v="2019"/>
    <n v="2019"/>
    <n v="15"/>
    <x v="0"/>
    <s v="15B"/>
    <x v="11"/>
    <n v="1"/>
    <n v="7"/>
    <x v="0"/>
    <x v="0"/>
  </r>
  <r>
    <n v="19037"/>
    <n v="120844311"/>
    <s v="Recovery"/>
    <n v="200"/>
    <s v="HY"/>
    <s v="F"/>
    <n v="1"/>
    <n v="2020"/>
    <n v="2019"/>
    <n v="15"/>
    <x v="0"/>
    <s v="15B"/>
    <x v="11"/>
    <n v="1"/>
    <n v="7"/>
    <x v="0"/>
    <x v="0"/>
  </r>
  <r>
    <n v="19039"/>
    <n v="120844313"/>
    <s v="Recovery"/>
    <n v="200"/>
    <s v="HY"/>
    <s v="M"/>
    <n v="1"/>
    <n v="2020"/>
    <n v="2019"/>
    <n v="15"/>
    <x v="0"/>
    <s v="15B"/>
    <x v="11"/>
    <n v="1"/>
    <n v="7"/>
    <x v="0"/>
    <x v="0"/>
  </r>
  <r>
    <n v="19041"/>
    <n v="120844315"/>
    <s v="Recovery"/>
    <n v="200"/>
    <s v="AHY"/>
    <s v="M"/>
    <n v="1"/>
    <n v="2021"/>
    <n v="2020"/>
    <n v="16"/>
    <x v="0"/>
    <s v="16B"/>
    <x v="15"/>
    <n v="1"/>
    <n v="7"/>
    <x v="0"/>
    <x v="0"/>
  </r>
  <r>
    <n v="19046"/>
    <n v="120844320"/>
    <s v="Recovery"/>
    <n v="200"/>
    <s v="AHY"/>
    <s v="F"/>
    <n v="1"/>
    <n v="2021"/>
    <n v="2020"/>
    <n v="16"/>
    <x v="0"/>
    <s v="16B"/>
    <x v="15"/>
    <n v="1"/>
    <n v="7"/>
    <x v="0"/>
    <x v="0"/>
  </r>
  <r>
    <n v="19060"/>
    <n v="120844334"/>
    <s v="Recovery"/>
    <n v="200"/>
    <s v="AHY"/>
    <s v="F"/>
    <n v="11"/>
    <n v="2019"/>
    <n v="2019"/>
    <n v="15"/>
    <x v="0"/>
    <s v="15B"/>
    <x v="11"/>
    <n v="1"/>
    <n v="7"/>
    <x v="0"/>
    <x v="0"/>
  </r>
  <r>
    <n v="19068"/>
    <n v="120844342"/>
    <s v="Recovery"/>
    <n v="200"/>
    <s v="HY"/>
    <s v="F"/>
    <n v="12"/>
    <n v="2019"/>
    <n v="2019"/>
    <n v="15"/>
    <x v="0"/>
    <s v="15B"/>
    <x v="11"/>
    <n v="1"/>
    <n v="7"/>
    <x v="0"/>
    <x v="0"/>
  </r>
  <r>
    <n v="19076"/>
    <n v="120844350"/>
    <s v="Recovery"/>
    <n v="200"/>
    <s v="HY"/>
    <s v="F"/>
    <n v="1"/>
    <n v="2020"/>
    <n v="2019"/>
    <n v="15"/>
    <x v="0"/>
    <s v="15B"/>
    <x v="11"/>
    <n v="1"/>
    <n v="7"/>
    <x v="0"/>
    <x v="0"/>
  </r>
  <r>
    <n v="19082"/>
    <n v="120844356"/>
    <s v="Recovery"/>
    <n v="200"/>
    <s v="AHY"/>
    <s v="M"/>
    <n v="1"/>
    <n v="2021"/>
    <n v="2020"/>
    <n v="16"/>
    <x v="0"/>
    <s v="16B"/>
    <x v="15"/>
    <n v="1"/>
    <n v="7"/>
    <x v="0"/>
    <x v="0"/>
  </r>
  <r>
    <n v="19090"/>
    <n v="120844364"/>
    <s v="Recovery"/>
    <n v="200"/>
    <s v="AHY"/>
    <s v="F"/>
    <n v="1"/>
    <n v="2020"/>
    <n v="2019"/>
    <n v="15"/>
    <x v="0"/>
    <s v="15B"/>
    <x v="11"/>
    <n v="1"/>
    <n v="7"/>
    <x v="0"/>
    <x v="0"/>
  </r>
  <r>
    <n v="19096"/>
    <n v="120844370"/>
    <s v="Recovery"/>
    <n v="200"/>
    <s v="AHY"/>
    <s v="F"/>
    <n v="1"/>
    <n v="2021"/>
    <n v="2020"/>
    <n v="16"/>
    <x v="0"/>
    <s v="16B"/>
    <x v="15"/>
    <n v="1"/>
    <n v="7"/>
    <x v="0"/>
    <x v="0"/>
  </r>
  <r>
    <n v="19097"/>
    <n v="120844371"/>
    <s v="Recovery"/>
    <n v="200"/>
    <s v="HY"/>
    <s v="F"/>
    <n v="12"/>
    <n v="2019"/>
    <n v="2019"/>
    <n v="15"/>
    <x v="0"/>
    <s v="15B"/>
    <x v="11"/>
    <n v="1"/>
    <n v="7"/>
    <x v="0"/>
    <x v="0"/>
  </r>
  <r>
    <n v="19101"/>
    <n v="120844375"/>
    <s v="Recovery"/>
    <n v="200"/>
    <s v="AHY"/>
    <s v="F"/>
    <n v="1"/>
    <n v="2021"/>
    <n v="2020"/>
    <n v="16"/>
    <x v="0"/>
    <s v="16B"/>
    <x v="15"/>
    <n v="1"/>
    <n v="7"/>
    <x v="0"/>
    <x v="0"/>
  </r>
  <r>
    <n v="19105"/>
    <n v="120844379"/>
    <s v="Recovery"/>
    <n v="200"/>
    <s v="AHY"/>
    <s v="F"/>
    <n v="9"/>
    <n v="2019"/>
    <n v="2019"/>
    <n v="15"/>
    <x v="0"/>
    <s v="15B"/>
    <x v="11"/>
    <n v="1"/>
    <n v="7"/>
    <x v="0"/>
    <x v="0"/>
  </r>
  <r>
    <n v="19129"/>
    <n v="120844407"/>
    <s v="Recovery"/>
    <n v="200"/>
    <s v="AHY"/>
    <s v="F"/>
    <n v="1"/>
    <n v="2020"/>
    <n v="2019"/>
    <n v="15"/>
    <x v="0"/>
    <s v="15B"/>
    <x v="11"/>
    <n v="1"/>
    <n v="7"/>
    <x v="0"/>
    <x v="0"/>
  </r>
  <r>
    <n v="19162"/>
    <n v="120844440"/>
    <s v="Recovery"/>
    <n v="200"/>
    <s v="AHY"/>
    <s v="M"/>
    <n v="12"/>
    <n v="2020"/>
    <n v="2020"/>
    <n v="16"/>
    <x v="0"/>
    <s v="16B"/>
    <x v="15"/>
    <n v="1"/>
    <n v="7"/>
    <x v="0"/>
    <x v="0"/>
  </r>
  <r>
    <n v="19165"/>
    <n v="120844443"/>
    <s v="Recovery"/>
    <n v="200"/>
    <s v="AHY"/>
    <s v="M"/>
    <n v="9"/>
    <n v="2020"/>
    <n v="2020"/>
    <n v="16"/>
    <x v="0"/>
    <s v="16B"/>
    <x v="15"/>
    <n v="1"/>
    <n v="7"/>
    <x v="0"/>
    <x v="0"/>
  </r>
  <r>
    <n v="19171"/>
    <n v="120844449"/>
    <s v="Recovery"/>
    <n v="200"/>
    <s v="AHY"/>
    <s v="M"/>
    <n v="9"/>
    <n v="2019"/>
    <n v="2019"/>
    <n v="15"/>
    <x v="0"/>
    <s v="15B"/>
    <x v="11"/>
    <n v="1"/>
    <n v="7"/>
    <x v="0"/>
    <x v="0"/>
  </r>
  <r>
    <n v="19179"/>
    <n v="120844457"/>
    <s v="Recovery"/>
    <n v="200"/>
    <s v="AHY"/>
    <s v="F"/>
    <n v="9"/>
    <n v="2019"/>
    <n v="2019"/>
    <n v="15"/>
    <x v="0"/>
    <s v="15B"/>
    <x v="11"/>
    <n v="1"/>
    <n v="7"/>
    <x v="0"/>
    <x v="0"/>
  </r>
  <r>
    <n v="19197"/>
    <n v="120844475"/>
    <s v="Recovery"/>
    <n v="200"/>
    <s v="AHY"/>
    <s v="M"/>
    <n v="1"/>
    <n v="2020"/>
    <n v="2019"/>
    <n v="15"/>
    <x v="0"/>
    <s v="15B"/>
    <x v="11"/>
    <n v="1"/>
    <n v="7"/>
    <x v="0"/>
    <x v="0"/>
  </r>
  <r>
    <n v="19214"/>
    <n v="120844492"/>
    <s v="Recovery"/>
    <n v="200"/>
    <s v="AHY"/>
    <s v="F"/>
    <n v="1"/>
    <n v="2020"/>
    <n v="2019"/>
    <n v="15"/>
    <x v="0"/>
    <s v="15B"/>
    <x v="11"/>
    <n v="1"/>
    <n v="7"/>
    <x v="0"/>
    <x v="0"/>
  </r>
  <r>
    <n v="19233"/>
    <n v="120844511"/>
    <s v="Recovery"/>
    <n v="200"/>
    <s v="AHY"/>
    <s v="F"/>
    <n v="9"/>
    <n v="2019"/>
    <n v="2019"/>
    <n v="15"/>
    <x v="0"/>
    <s v="15B"/>
    <x v="11"/>
    <n v="1"/>
    <n v="7"/>
    <x v="0"/>
    <x v="0"/>
  </r>
  <r>
    <n v="19242"/>
    <n v="120844520"/>
    <s v="Recovery"/>
    <n v="200"/>
    <s v="AHY"/>
    <s v="M"/>
    <n v="12"/>
    <n v="2020"/>
    <n v="2020"/>
    <n v="16"/>
    <x v="0"/>
    <s v="16B"/>
    <x v="15"/>
    <n v="1"/>
    <n v="7"/>
    <x v="0"/>
    <x v="0"/>
  </r>
  <r>
    <n v="19265"/>
    <n v="120844543"/>
    <s v="Recovery"/>
    <n v="200"/>
    <s v="AHY"/>
    <s v="F"/>
    <n v="1"/>
    <n v="2021"/>
    <n v="2020"/>
    <n v="16"/>
    <x v="0"/>
    <s v="16B"/>
    <x v="15"/>
    <n v="1"/>
    <n v="7"/>
    <x v="0"/>
    <x v="0"/>
  </r>
  <r>
    <n v="19271"/>
    <n v="120844549"/>
    <s v="Recovery"/>
    <n v="200"/>
    <s v="AHY"/>
    <s v="M"/>
    <n v="1"/>
    <n v="2020"/>
    <n v="2019"/>
    <n v="15"/>
    <x v="0"/>
    <s v="15B"/>
    <x v="11"/>
    <n v="1"/>
    <n v="7"/>
    <x v="0"/>
    <x v="0"/>
  </r>
  <r>
    <n v="19284"/>
    <n v="120844562"/>
    <s v="Recovery"/>
    <n v="200"/>
    <s v="AHY"/>
    <s v="M"/>
    <n v="1"/>
    <n v="2020"/>
    <n v="2019"/>
    <n v="15"/>
    <x v="0"/>
    <s v="15B"/>
    <x v="11"/>
    <n v="1"/>
    <n v="7"/>
    <x v="0"/>
    <x v="0"/>
  </r>
  <r>
    <n v="19321"/>
    <n v="120844599"/>
    <s v="Recovery"/>
    <n v="200"/>
    <s v="AHY"/>
    <s v="M"/>
    <n v="1"/>
    <n v="2020"/>
    <n v="2019"/>
    <n v="15"/>
    <x v="0"/>
    <s v="15B"/>
    <x v="11"/>
    <n v="1"/>
    <n v="7"/>
    <x v="0"/>
    <x v="0"/>
  </r>
  <r>
    <n v="19338"/>
    <n v="120844616"/>
    <s v="Recovery"/>
    <n v="200"/>
    <s v="AHY"/>
    <s v="F"/>
    <n v="9"/>
    <n v="2020"/>
    <n v="2020"/>
    <n v="16"/>
    <x v="0"/>
    <s v="16B"/>
    <x v="15"/>
    <n v="1"/>
    <n v="7"/>
    <x v="0"/>
    <x v="0"/>
  </r>
  <r>
    <n v="19374"/>
    <n v="120844652"/>
    <s v="Recovery"/>
    <n v="200"/>
    <s v="AHY"/>
    <s v="M"/>
    <n v="12"/>
    <n v="2019"/>
    <n v="2019"/>
    <n v="15"/>
    <x v="0"/>
    <s v="15B"/>
    <x v="11"/>
    <n v="1"/>
    <n v="7"/>
    <x v="0"/>
    <x v="0"/>
  </r>
  <r>
    <n v="19381"/>
    <n v="120844659"/>
    <s v="Recovery"/>
    <n v="200"/>
    <s v="AHY"/>
    <s v="F"/>
    <n v="9"/>
    <n v="2019"/>
    <n v="2019"/>
    <n v="15"/>
    <x v="0"/>
    <s v="15B"/>
    <x v="11"/>
    <n v="1"/>
    <n v="7"/>
    <x v="0"/>
    <x v="0"/>
  </r>
  <r>
    <n v="19382"/>
    <n v="120844660"/>
    <s v="Recovery"/>
    <n v="200"/>
    <s v="AHY"/>
    <s v="M"/>
    <n v="9"/>
    <n v="2019"/>
    <n v="2019"/>
    <n v="15"/>
    <x v="0"/>
    <s v="15B"/>
    <x v="11"/>
    <n v="1"/>
    <n v="7"/>
    <x v="0"/>
    <x v="0"/>
  </r>
  <r>
    <n v="19398"/>
    <n v="120844676"/>
    <s v="Recovery"/>
    <n v="200"/>
    <s v="AHY"/>
    <s v="F"/>
    <n v="9"/>
    <n v="2019"/>
    <n v="2019"/>
    <n v="15"/>
    <x v="0"/>
    <s v="15B"/>
    <x v="11"/>
    <n v="1"/>
    <n v="7"/>
    <x v="0"/>
    <x v="0"/>
  </r>
  <r>
    <n v="19404"/>
    <n v="120844682"/>
    <s v="Recovery"/>
    <n v="200"/>
    <s v="AHY"/>
    <s v="M"/>
    <n v="12"/>
    <n v="2019"/>
    <n v="2019"/>
    <n v="15"/>
    <x v="0"/>
    <s v="15B"/>
    <x v="11"/>
    <n v="1"/>
    <n v="7"/>
    <x v="0"/>
    <x v="0"/>
  </r>
  <r>
    <n v="19407"/>
    <n v="120844685"/>
    <s v="Recovery"/>
    <n v="200"/>
    <s v="AHY"/>
    <s v="F"/>
    <n v="9"/>
    <n v="2020"/>
    <n v="2020"/>
    <n v="16"/>
    <x v="0"/>
    <s v="16B"/>
    <x v="15"/>
    <n v="1"/>
    <n v="7"/>
    <x v="0"/>
    <x v="0"/>
  </r>
  <r>
    <n v="19412"/>
    <n v="120844690"/>
    <s v="Recovery"/>
    <n v="200"/>
    <s v="AHY"/>
    <s v="M"/>
    <n v="9"/>
    <n v="2019"/>
    <n v="2019"/>
    <n v="15"/>
    <x v="0"/>
    <s v="15B"/>
    <x v="11"/>
    <n v="1"/>
    <n v="7"/>
    <x v="0"/>
    <x v="0"/>
  </r>
  <r>
    <n v="19417"/>
    <n v="120844695"/>
    <s v="Recovery"/>
    <n v="200"/>
    <s v="AHY"/>
    <s v="M"/>
    <n v="9"/>
    <n v="2019"/>
    <n v="2019"/>
    <n v="15"/>
    <x v="0"/>
    <s v="15B"/>
    <x v="11"/>
    <n v="1"/>
    <n v="7"/>
    <x v="0"/>
    <x v="0"/>
  </r>
  <r>
    <n v="19418"/>
    <n v="120844696"/>
    <s v="Recovery"/>
    <n v="200"/>
    <s v="AHY"/>
    <s v="M"/>
    <n v="9"/>
    <n v="2019"/>
    <n v="2019"/>
    <n v="15"/>
    <x v="0"/>
    <s v="15B"/>
    <x v="11"/>
    <n v="1"/>
    <n v="7"/>
    <x v="0"/>
    <x v="0"/>
  </r>
  <r>
    <n v="19421"/>
    <n v="120844699"/>
    <s v="Recovery"/>
    <n v="200"/>
    <s v="AHY"/>
    <s v="M"/>
    <n v="1"/>
    <n v="2021"/>
    <n v="2020"/>
    <n v="16"/>
    <x v="0"/>
    <s v="16B"/>
    <x v="15"/>
    <n v="1"/>
    <n v="7"/>
    <x v="0"/>
    <x v="0"/>
  </r>
  <r>
    <n v="19422"/>
    <n v="120844700"/>
    <s v="Recovery"/>
    <n v="200"/>
    <s v="AHY"/>
    <s v="F"/>
    <n v="9"/>
    <n v="2019"/>
    <n v="2019"/>
    <n v="15"/>
    <x v="0"/>
    <s v="15B"/>
    <x v="11"/>
    <n v="1"/>
    <n v="7"/>
    <x v="0"/>
    <x v="0"/>
  </r>
  <r>
    <n v="19430"/>
    <n v="120844708"/>
    <s v="Recovery"/>
    <n v="200"/>
    <s v="AHY"/>
    <s v="M"/>
    <n v="10"/>
    <n v="2019"/>
    <n v="2019"/>
    <n v="15"/>
    <x v="0"/>
    <s v="15B"/>
    <x v="11"/>
    <n v="1"/>
    <n v="7"/>
    <x v="0"/>
    <x v="0"/>
  </r>
  <r>
    <n v="19438"/>
    <n v="120844716"/>
    <s v="Recovery"/>
    <n v="200"/>
    <s v="AHY"/>
    <s v="M"/>
    <n v="1"/>
    <n v="2020"/>
    <n v="2019"/>
    <n v="15"/>
    <x v="0"/>
    <s v="15B"/>
    <x v="11"/>
    <n v="1"/>
    <n v="7"/>
    <x v="0"/>
    <x v="0"/>
  </r>
  <r>
    <n v="19440"/>
    <n v="120844718"/>
    <s v="Recovery"/>
    <n v="200"/>
    <s v="AHY"/>
    <s v="F"/>
    <n v="9"/>
    <n v="2019"/>
    <n v="2019"/>
    <n v="15"/>
    <x v="0"/>
    <s v="15B"/>
    <x v="11"/>
    <n v="1"/>
    <n v="7"/>
    <x v="0"/>
    <x v="0"/>
  </r>
  <r>
    <n v="19444"/>
    <n v="120844722"/>
    <s v="Recovery"/>
    <n v="200"/>
    <s v="AHY"/>
    <s v="M"/>
    <n v="1"/>
    <n v="2020"/>
    <n v="2019"/>
    <n v="15"/>
    <x v="0"/>
    <s v="15B"/>
    <x v="11"/>
    <n v="1"/>
    <n v="7"/>
    <x v="0"/>
    <x v="0"/>
  </r>
  <r>
    <n v="19454"/>
    <n v="120844732"/>
    <s v="Recovery"/>
    <n v="200"/>
    <s v="AHY"/>
    <s v="M"/>
    <n v="1"/>
    <n v="2021"/>
    <n v="2020"/>
    <n v="16"/>
    <x v="0"/>
    <s v="16B"/>
    <x v="15"/>
    <n v="1"/>
    <n v="7"/>
    <x v="0"/>
    <x v="0"/>
  </r>
  <r>
    <n v="19465"/>
    <n v="120844743"/>
    <s v="Recovery"/>
    <n v="200"/>
    <s v="AHY"/>
    <s v="F"/>
    <n v="1"/>
    <n v="2020"/>
    <n v="2019"/>
    <n v="15"/>
    <x v="0"/>
    <s v="15B"/>
    <x v="11"/>
    <n v="1"/>
    <n v="7"/>
    <x v="0"/>
    <x v="0"/>
  </r>
  <r>
    <n v="19466"/>
    <n v="120844744"/>
    <s v="Recovery"/>
    <n v="200"/>
    <s v="AHY"/>
    <s v="M"/>
    <n v="9"/>
    <n v="2019"/>
    <n v="2019"/>
    <n v="15"/>
    <x v="0"/>
    <s v="15B"/>
    <x v="11"/>
    <n v="1"/>
    <n v="7"/>
    <x v="0"/>
    <x v="0"/>
  </r>
  <r>
    <n v="19473"/>
    <n v="120844751"/>
    <s v="Recovery"/>
    <n v="200"/>
    <s v="AHY"/>
    <s v="F"/>
    <n v="9"/>
    <n v="2020"/>
    <n v="2020"/>
    <n v="16"/>
    <x v="0"/>
    <s v="16B"/>
    <x v="15"/>
    <n v="1"/>
    <n v="7"/>
    <x v="0"/>
    <x v="0"/>
  </r>
  <r>
    <n v="19477"/>
    <n v="120844755"/>
    <s v="Recovery"/>
    <n v="200"/>
    <s v="AHY"/>
    <s v="F"/>
    <n v="1"/>
    <n v="2021"/>
    <n v="2020"/>
    <n v="16"/>
    <x v="0"/>
    <s v="16B"/>
    <x v="15"/>
    <n v="1"/>
    <n v="7"/>
    <x v="0"/>
    <x v="0"/>
  </r>
  <r>
    <n v="19493"/>
    <n v="120844771"/>
    <s v="Recovery"/>
    <n v="200"/>
    <s v="AHY"/>
    <s v="F"/>
    <n v="2"/>
    <n v="2021"/>
    <n v="2020"/>
    <n v="16"/>
    <x v="0"/>
    <s v="16B"/>
    <x v="15"/>
    <n v="1"/>
    <n v="7"/>
    <x v="0"/>
    <x v="0"/>
  </r>
  <r>
    <n v="19503"/>
    <n v="120844781"/>
    <s v="Recovery"/>
    <n v="200"/>
    <s v="AHY"/>
    <s v="M"/>
    <n v="9"/>
    <n v="2020"/>
    <n v="2020"/>
    <n v="16"/>
    <x v="0"/>
    <s v="16B"/>
    <x v="15"/>
    <n v="1"/>
    <n v="7"/>
    <x v="0"/>
    <x v="0"/>
  </r>
  <r>
    <n v="19506"/>
    <n v="120844784"/>
    <s v="Recovery"/>
    <n v="200"/>
    <s v="AHY"/>
    <s v="F"/>
    <n v="12"/>
    <n v="2020"/>
    <n v="2020"/>
    <n v="16"/>
    <x v="0"/>
    <s v="16B"/>
    <x v="15"/>
    <n v="1"/>
    <n v="7"/>
    <x v="0"/>
    <x v="0"/>
  </r>
  <r>
    <n v="19512"/>
    <n v="120844790"/>
    <s v="Recovery"/>
    <n v="200"/>
    <s v="AHY"/>
    <s v="M"/>
    <n v="1"/>
    <n v="2021"/>
    <n v="2020"/>
    <n v="16"/>
    <x v="0"/>
    <s v="16B"/>
    <x v="15"/>
    <n v="1"/>
    <n v="7"/>
    <x v="0"/>
    <x v="0"/>
  </r>
  <r>
    <n v="19521"/>
    <n v="120844799"/>
    <s v="Recovery"/>
    <n v="200"/>
    <s v="AHY"/>
    <s v="F"/>
    <n v="1"/>
    <n v="2021"/>
    <n v="2020"/>
    <n v="16"/>
    <x v="0"/>
    <s v="16B"/>
    <x v="15"/>
    <n v="1"/>
    <n v="7"/>
    <x v="0"/>
    <x v="0"/>
  </r>
  <r>
    <n v="19524"/>
    <n v="120844863"/>
    <s v="Recovery"/>
    <n v="200"/>
    <s v="AHY"/>
    <s v="F"/>
    <n v="12"/>
    <n v="2020"/>
    <n v="2020"/>
    <n v="16"/>
    <x v="0"/>
    <s v="16B"/>
    <x v="15"/>
    <n v="1"/>
    <n v="7"/>
    <x v="0"/>
    <x v="0"/>
  </r>
  <r>
    <n v="19556"/>
    <n v="120844895"/>
    <s v="Recovery"/>
    <n v="200"/>
    <s v="AHY"/>
    <s v="F"/>
    <n v="1"/>
    <n v="2021"/>
    <n v="2020"/>
    <n v="16"/>
    <x v="0"/>
    <s v="16B"/>
    <x v="15"/>
    <n v="1"/>
    <n v="7"/>
    <x v="0"/>
    <x v="0"/>
  </r>
  <r>
    <n v="19559"/>
    <n v="120844898"/>
    <s v="Recovery"/>
    <n v="200"/>
    <s v="AHY"/>
    <s v="F"/>
    <n v="11"/>
    <n v="2019"/>
    <n v="2019"/>
    <n v="15"/>
    <x v="0"/>
    <s v="15B"/>
    <x v="11"/>
    <n v="1"/>
    <n v="7"/>
    <x v="0"/>
    <x v="0"/>
  </r>
  <r>
    <n v="19583"/>
    <n v="120844922"/>
    <s v="Recovery"/>
    <n v="200"/>
    <s v="AHY"/>
    <s v="M"/>
    <n v="12"/>
    <n v="2020"/>
    <n v="2020"/>
    <n v="16"/>
    <x v="0"/>
    <s v="16B"/>
    <x v="15"/>
    <n v="1"/>
    <n v="7"/>
    <x v="0"/>
    <x v="0"/>
  </r>
  <r>
    <n v="19591"/>
    <n v="120844930"/>
    <s v="Recovery"/>
    <n v="200"/>
    <s v="AHY"/>
    <s v="M"/>
    <n v="1"/>
    <n v="2021"/>
    <n v="2020"/>
    <n v="16"/>
    <x v="0"/>
    <s v="16B"/>
    <x v="15"/>
    <n v="1"/>
    <n v="7"/>
    <x v="0"/>
    <x v="0"/>
  </r>
  <r>
    <n v="19593"/>
    <n v="120844932"/>
    <s v="Recovery"/>
    <n v="200"/>
    <s v="AHY"/>
    <s v="F"/>
    <n v="1"/>
    <n v="2021"/>
    <n v="2020"/>
    <n v="16"/>
    <x v="0"/>
    <s v="16B"/>
    <x v="15"/>
    <n v="1"/>
    <n v="7"/>
    <x v="0"/>
    <x v="0"/>
  </r>
  <r>
    <n v="19595"/>
    <n v="120844934"/>
    <s v="Recovery"/>
    <n v="200"/>
    <s v="AHY"/>
    <s v="F"/>
    <n v="11"/>
    <n v="2019"/>
    <n v="2019"/>
    <n v="15"/>
    <x v="0"/>
    <s v="15B"/>
    <x v="11"/>
    <n v="1"/>
    <n v="7"/>
    <x v="0"/>
    <x v="0"/>
  </r>
  <r>
    <n v="19601"/>
    <n v="120844940"/>
    <s v="Recovery"/>
    <n v="200"/>
    <s v="AHY"/>
    <s v="F"/>
    <n v="9"/>
    <n v="2020"/>
    <n v="2020"/>
    <n v="16"/>
    <x v="0"/>
    <s v="16B"/>
    <x v="15"/>
    <n v="1"/>
    <n v="7"/>
    <x v="0"/>
    <x v="0"/>
  </r>
  <r>
    <n v="19607"/>
    <n v="120844946"/>
    <s v="Recovery"/>
    <n v="200"/>
    <s v="AHY"/>
    <s v="F"/>
    <n v="12"/>
    <n v="2019"/>
    <n v="2019"/>
    <n v="15"/>
    <x v="0"/>
    <s v="15B"/>
    <x v="11"/>
    <n v="1"/>
    <n v="7"/>
    <x v="0"/>
    <x v="0"/>
  </r>
  <r>
    <n v="19612"/>
    <n v="120844951"/>
    <s v="Recovery"/>
    <n v="200"/>
    <s v="AHY"/>
    <s v="M"/>
    <n v="1"/>
    <n v="2020"/>
    <n v="2019"/>
    <n v="15"/>
    <x v="0"/>
    <s v="15B"/>
    <x v="11"/>
    <n v="1"/>
    <n v="7"/>
    <x v="0"/>
    <x v="0"/>
  </r>
  <r>
    <n v="19613"/>
    <n v="120844952"/>
    <s v="Recovery"/>
    <n v="200"/>
    <s v="AHY"/>
    <s v="F"/>
    <n v="1"/>
    <n v="2020"/>
    <n v="2019"/>
    <n v="15"/>
    <x v="0"/>
    <s v="15B"/>
    <x v="11"/>
    <n v="1"/>
    <n v="7"/>
    <x v="0"/>
    <x v="0"/>
  </r>
  <r>
    <n v="19617"/>
    <n v="120844956"/>
    <s v="Recovery"/>
    <n v="200"/>
    <s v="AHY"/>
    <s v="M"/>
    <n v="9"/>
    <n v="2019"/>
    <n v="2019"/>
    <n v="15"/>
    <x v="0"/>
    <s v="15B"/>
    <x v="11"/>
    <n v="1"/>
    <n v="7"/>
    <x v="0"/>
    <x v="0"/>
  </r>
  <r>
    <n v="19620"/>
    <n v="120844959"/>
    <s v="Recovery"/>
    <n v="200"/>
    <s v="AHY"/>
    <s v="M"/>
    <n v="1"/>
    <n v="2021"/>
    <n v="2020"/>
    <n v="16"/>
    <x v="0"/>
    <s v="16B"/>
    <x v="15"/>
    <n v="1"/>
    <n v="7"/>
    <x v="0"/>
    <x v="0"/>
  </r>
  <r>
    <n v="19639"/>
    <n v="120844978"/>
    <s v="Recovery"/>
    <n v="200"/>
    <s v="AHY"/>
    <s v="M"/>
    <n v="9"/>
    <n v="2019"/>
    <n v="2019"/>
    <n v="15"/>
    <x v="0"/>
    <s v="15B"/>
    <x v="11"/>
    <n v="1"/>
    <n v="7"/>
    <x v="0"/>
    <x v="0"/>
  </r>
  <r>
    <n v="19646"/>
    <n v="120844985"/>
    <s v="Recovery"/>
    <n v="200"/>
    <s v="AHY"/>
    <s v="F"/>
    <n v="1"/>
    <n v="2020"/>
    <n v="2019"/>
    <n v="15"/>
    <x v="0"/>
    <s v="15B"/>
    <x v="11"/>
    <n v="1"/>
    <n v="7"/>
    <x v="0"/>
    <x v="0"/>
  </r>
  <r>
    <n v="19663"/>
    <n v="125846302"/>
    <s v="Recovery"/>
    <n v="200"/>
    <s v="AHY"/>
    <s v="F"/>
    <n v="9"/>
    <n v="2019"/>
    <n v="2019"/>
    <n v="15"/>
    <x v="0"/>
    <s v="15B"/>
    <x v="11"/>
    <n v="1"/>
    <n v="7"/>
    <x v="0"/>
    <x v="0"/>
  </r>
  <r>
    <n v="19665"/>
    <n v="125846304"/>
    <s v="Recovery"/>
    <n v="200"/>
    <s v="AHY"/>
    <s v="F"/>
    <n v="9"/>
    <n v="2020"/>
    <n v="2020"/>
    <n v="16"/>
    <x v="0"/>
    <s v="16B"/>
    <x v="15"/>
    <n v="1"/>
    <n v="7"/>
    <x v="0"/>
    <x v="0"/>
  </r>
  <r>
    <n v="19674"/>
    <n v="125846313"/>
    <s v="Recovery"/>
    <n v="200"/>
    <s v="AHY"/>
    <s v="M"/>
    <n v="1"/>
    <n v="2021"/>
    <n v="2020"/>
    <n v="16"/>
    <x v="0"/>
    <s v="16B"/>
    <x v="15"/>
    <n v="1"/>
    <n v="7"/>
    <x v="0"/>
    <x v="0"/>
  </r>
  <r>
    <n v="19675"/>
    <n v="125846314"/>
    <s v="Recovery"/>
    <n v="200"/>
    <s v="AHY"/>
    <s v="F"/>
    <n v="9"/>
    <n v="2020"/>
    <n v="2020"/>
    <n v="16"/>
    <x v="0"/>
    <s v="16B"/>
    <x v="15"/>
    <n v="1"/>
    <n v="7"/>
    <x v="0"/>
    <x v="0"/>
  </r>
  <r>
    <n v="19694"/>
    <n v="125846333"/>
    <s v="Recovery"/>
    <n v="200"/>
    <s v="AHY"/>
    <s v="F"/>
    <n v="1"/>
    <n v="2020"/>
    <n v="2019"/>
    <n v="15"/>
    <x v="0"/>
    <s v="15B"/>
    <x v="11"/>
    <n v="1"/>
    <n v="7"/>
    <x v="0"/>
    <x v="0"/>
  </r>
  <r>
    <n v="19705"/>
    <n v="125846344"/>
    <s v="Recovery"/>
    <n v="200"/>
    <s v="AHY"/>
    <s v="M"/>
    <n v="9"/>
    <n v="2019"/>
    <n v="2019"/>
    <n v="15"/>
    <x v="0"/>
    <s v="15B"/>
    <x v="11"/>
    <n v="1"/>
    <n v="7"/>
    <x v="0"/>
    <x v="0"/>
  </r>
  <r>
    <n v="19707"/>
    <n v="125846346"/>
    <s v="Recovery"/>
    <n v="200"/>
    <s v="AHY"/>
    <s v="M"/>
    <n v="12"/>
    <n v="2019"/>
    <n v="2019"/>
    <n v="15"/>
    <x v="0"/>
    <s v="15B"/>
    <x v="11"/>
    <n v="1"/>
    <n v="7"/>
    <x v="0"/>
    <x v="0"/>
  </r>
  <r>
    <n v="19720"/>
    <n v="125846359"/>
    <s v="Recovery"/>
    <n v="200"/>
    <s v="AHY"/>
    <s v="M"/>
    <n v="9"/>
    <n v="2020"/>
    <n v="2020"/>
    <n v="16"/>
    <x v="0"/>
    <s v="16B"/>
    <x v="15"/>
    <n v="1"/>
    <n v="7"/>
    <x v="0"/>
    <x v="0"/>
  </r>
  <r>
    <n v="19730"/>
    <n v="125846369"/>
    <s v="Recovery"/>
    <n v="200"/>
    <s v="AHY"/>
    <s v="M"/>
    <n v="1"/>
    <n v="2020"/>
    <n v="2019"/>
    <n v="15"/>
    <x v="0"/>
    <s v="15B"/>
    <x v="11"/>
    <n v="1"/>
    <n v="7"/>
    <x v="0"/>
    <x v="0"/>
  </r>
  <r>
    <n v="19733"/>
    <n v="125846372"/>
    <s v="Recovery"/>
    <n v="200"/>
    <s v="AHY"/>
    <s v="M"/>
    <n v="1"/>
    <n v="2021"/>
    <n v="2020"/>
    <n v="16"/>
    <x v="0"/>
    <s v="16B"/>
    <x v="15"/>
    <n v="1"/>
    <n v="7"/>
    <x v="0"/>
    <x v="0"/>
  </r>
  <r>
    <n v="19735"/>
    <n v="125846374"/>
    <s v="Recovery"/>
    <n v="200"/>
    <s v="AHY"/>
    <s v="F"/>
    <n v="11"/>
    <n v="2020"/>
    <n v="2020"/>
    <n v="16"/>
    <x v="0"/>
    <s v="16B"/>
    <x v="15"/>
    <n v="1"/>
    <n v="7"/>
    <x v="0"/>
    <x v="0"/>
  </r>
  <r>
    <n v="19742"/>
    <n v="125846381"/>
    <s v="Recovery"/>
    <n v="200"/>
    <s v="AHY"/>
    <s v="F"/>
    <n v="9"/>
    <n v="2019"/>
    <n v="2019"/>
    <n v="15"/>
    <x v="0"/>
    <s v="15B"/>
    <x v="11"/>
    <n v="1"/>
    <n v="7"/>
    <x v="0"/>
    <x v="0"/>
  </r>
  <r>
    <n v="19747"/>
    <n v="125846386"/>
    <s v="Recovery"/>
    <n v="200"/>
    <s v="AHY"/>
    <s v="M"/>
    <n v="9"/>
    <n v="2020"/>
    <n v="2020"/>
    <n v="16"/>
    <x v="0"/>
    <s v="16B"/>
    <x v="15"/>
    <n v="1"/>
    <n v="7"/>
    <x v="0"/>
    <x v="0"/>
  </r>
  <r>
    <n v="19749"/>
    <n v="125846388"/>
    <s v="Recovery"/>
    <n v="200"/>
    <s v="AHY"/>
    <s v="M"/>
    <n v="1"/>
    <n v="2020"/>
    <n v="2019"/>
    <n v="15"/>
    <x v="0"/>
    <s v="15B"/>
    <x v="11"/>
    <n v="1"/>
    <n v="7"/>
    <x v="0"/>
    <x v="0"/>
  </r>
  <r>
    <n v="19752"/>
    <n v="125846391"/>
    <s v="Recovery"/>
    <n v="200"/>
    <s v="AHY"/>
    <s v="M"/>
    <n v="1"/>
    <n v="2021"/>
    <n v="2020"/>
    <n v="16"/>
    <x v="0"/>
    <s v="16B"/>
    <x v="15"/>
    <n v="1"/>
    <n v="7"/>
    <x v="0"/>
    <x v="0"/>
  </r>
  <r>
    <n v="19753"/>
    <n v="125846392"/>
    <s v="Recovery"/>
    <n v="200"/>
    <s v="AHY"/>
    <s v="M"/>
    <n v="9"/>
    <n v="2020"/>
    <n v="2020"/>
    <n v="16"/>
    <x v="0"/>
    <s v="16B"/>
    <x v="15"/>
    <n v="1"/>
    <n v="34"/>
    <x v="9"/>
    <x v="1"/>
  </r>
  <r>
    <n v="19755"/>
    <n v="125846394"/>
    <s v="Recovery"/>
    <n v="200"/>
    <s v="AHY"/>
    <s v="F"/>
    <n v="9"/>
    <n v="2019"/>
    <n v="2019"/>
    <n v="15"/>
    <x v="0"/>
    <s v="15B"/>
    <x v="11"/>
    <n v="1"/>
    <n v="7"/>
    <x v="0"/>
    <x v="0"/>
  </r>
  <r>
    <n v="19759"/>
    <n v="125846398"/>
    <s v="Recovery"/>
    <n v="200"/>
    <s v="AHY"/>
    <s v="M"/>
    <n v="9"/>
    <n v="2019"/>
    <n v="2019"/>
    <n v="15"/>
    <x v="0"/>
    <s v="15B"/>
    <x v="11"/>
    <n v="1"/>
    <n v="7"/>
    <x v="0"/>
    <x v="0"/>
  </r>
  <r>
    <n v="19761"/>
    <n v="125846400"/>
    <s v="Recovery"/>
    <n v="200"/>
    <s v="AHY"/>
    <s v="M"/>
    <n v="9"/>
    <n v="2019"/>
    <n v="2019"/>
    <n v="15"/>
    <x v="0"/>
    <s v="15B"/>
    <x v="11"/>
    <n v="1"/>
    <n v="7"/>
    <x v="0"/>
    <x v="0"/>
  </r>
  <r>
    <n v="19765"/>
    <n v="125846404"/>
    <s v="Recovery"/>
    <n v="200"/>
    <s v="AHY"/>
    <s v="F"/>
    <n v="9"/>
    <n v="2019"/>
    <n v="2019"/>
    <n v="15"/>
    <x v="0"/>
    <s v="15B"/>
    <x v="11"/>
    <n v="1"/>
    <n v="7"/>
    <x v="0"/>
    <x v="0"/>
  </r>
  <r>
    <n v="19766"/>
    <n v="125846405"/>
    <s v="Recovery"/>
    <n v="200"/>
    <s v="AHY"/>
    <s v="F"/>
    <n v="9"/>
    <n v="2020"/>
    <n v="2020"/>
    <n v="16"/>
    <x v="0"/>
    <s v="16B"/>
    <x v="15"/>
    <n v="1"/>
    <n v="36"/>
    <x v="12"/>
    <x v="1"/>
  </r>
  <r>
    <n v="19774"/>
    <n v="125846413"/>
    <s v="Recovery"/>
    <n v="200"/>
    <s v="AHY"/>
    <s v="F"/>
    <n v="9"/>
    <n v="2019"/>
    <n v="2019"/>
    <n v="15"/>
    <x v="0"/>
    <s v="15B"/>
    <x v="11"/>
    <n v="1"/>
    <n v="7"/>
    <x v="0"/>
    <x v="0"/>
  </r>
  <r>
    <n v="19787"/>
    <n v="125846426"/>
    <s v="Recovery"/>
    <n v="200"/>
    <s v="AHY"/>
    <s v="F"/>
    <n v="9"/>
    <n v="2019"/>
    <n v="2019"/>
    <n v="15"/>
    <x v="0"/>
    <s v="15B"/>
    <x v="11"/>
    <n v="1"/>
    <n v="7"/>
    <x v="0"/>
    <x v="0"/>
  </r>
  <r>
    <n v="19795"/>
    <n v="125846434"/>
    <s v="Recovery"/>
    <n v="200"/>
    <s v="AHY"/>
    <s v="M"/>
    <n v="1"/>
    <n v="2020"/>
    <n v="2019"/>
    <n v="15"/>
    <x v="0"/>
    <s v="15B"/>
    <x v="11"/>
    <n v="1"/>
    <n v="7"/>
    <x v="0"/>
    <x v="0"/>
  </r>
  <r>
    <n v="19799"/>
    <n v="125846438"/>
    <s v="Recovery"/>
    <n v="200"/>
    <s v="AHY"/>
    <s v="M"/>
    <n v="9"/>
    <n v="2019"/>
    <n v="2019"/>
    <n v="15"/>
    <x v="0"/>
    <s v="15B"/>
    <x v="11"/>
    <n v="1"/>
    <n v="7"/>
    <x v="0"/>
    <x v="0"/>
  </r>
  <r>
    <n v="19802"/>
    <n v="125846441"/>
    <s v="Recovery"/>
    <n v="200"/>
    <s v="AHY"/>
    <s v="F"/>
    <n v="9"/>
    <n v="2019"/>
    <n v="2019"/>
    <n v="15"/>
    <x v="0"/>
    <s v="15B"/>
    <x v="11"/>
    <n v="1"/>
    <n v="7"/>
    <x v="0"/>
    <x v="0"/>
  </r>
  <r>
    <n v="19805"/>
    <n v="125846444"/>
    <s v="Recovery"/>
    <n v="200"/>
    <s v="AHY"/>
    <s v="F"/>
    <n v="11"/>
    <n v="2020"/>
    <n v="2020"/>
    <n v="16"/>
    <x v="0"/>
    <s v="16B"/>
    <x v="15"/>
    <n v="1"/>
    <n v="7"/>
    <x v="0"/>
    <x v="0"/>
  </r>
  <r>
    <n v="19812"/>
    <n v="125846451"/>
    <s v="Recovery"/>
    <n v="200"/>
    <s v="AHY"/>
    <s v="F"/>
    <n v="1"/>
    <n v="2020"/>
    <n v="2019"/>
    <n v="15"/>
    <x v="0"/>
    <s v="15B"/>
    <x v="11"/>
    <n v="1"/>
    <n v="7"/>
    <x v="0"/>
    <x v="0"/>
  </r>
  <r>
    <n v="19813"/>
    <n v="125846452"/>
    <s v="Recovery"/>
    <n v="200"/>
    <s v="AHY"/>
    <s v="M"/>
    <n v="11"/>
    <n v="2020"/>
    <n v="2020"/>
    <n v="16"/>
    <x v="0"/>
    <s v="16B"/>
    <x v="15"/>
    <n v="1"/>
    <n v="7"/>
    <x v="0"/>
    <x v="0"/>
  </r>
  <r>
    <n v="19825"/>
    <n v="125846464"/>
    <s v="Recovery"/>
    <n v="200"/>
    <s v="AHY"/>
    <s v="F"/>
    <n v="11"/>
    <n v="2020"/>
    <n v="2020"/>
    <n v="16"/>
    <x v="0"/>
    <s v="16B"/>
    <x v="15"/>
    <n v="1"/>
    <n v="7"/>
    <x v="0"/>
    <x v="0"/>
  </r>
  <r>
    <n v="19829"/>
    <n v="125846468"/>
    <s v="Recovery"/>
    <n v="200"/>
    <s v="AHY"/>
    <s v="M"/>
    <n v="9"/>
    <n v="2019"/>
    <n v="2019"/>
    <n v="15"/>
    <x v="0"/>
    <s v="15B"/>
    <x v="11"/>
    <n v="1"/>
    <n v="7"/>
    <x v="0"/>
    <x v="0"/>
  </r>
  <r>
    <n v="19831"/>
    <n v="125846470"/>
    <s v="Recovery"/>
    <n v="200"/>
    <s v="AHY"/>
    <s v="F"/>
    <n v="9"/>
    <n v="2019"/>
    <n v="2019"/>
    <n v="15"/>
    <x v="0"/>
    <s v="15B"/>
    <x v="11"/>
    <n v="1"/>
    <n v="7"/>
    <x v="0"/>
    <x v="0"/>
  </r>
  <r>
    <n v="19832"/>
    <n v="125846471"/>
    <s v="Recovery"/>
    <n v="200"/>
    <s v="AHY"/>
    <s v="M"/>
    <n v="9"/>
    <n v="2019"/>
    <n v="2019"/>
    <n v="15"/>
    <x v="0"/>
    <s v="15B"/>
    <x v="11"/>
    <n v="1"/>
    <n v="7"/>
    <x v="0"/>
    <x v="0"/>
  </r>
  <r>
    <n v="19835"/>
    <n v="125846474"/>
    <s v="Recovery"/>
    <n v="200"/>
    <s v="AHY"/>
    <s v="M"/>
    <n v="9"/>
    <n v="2020"/>
    <n v="2020"/>
    <n v="16"/>
    <x v="0"/>
    <s v="16B"/>
    <x v="15"/>
    <n v="1"/>
    <n v="7"/>
    <x v="0"/>
    <x v="0"/>
  </r>
  <r>
    <n v="19839"/>
    <n v="125846478"/>
    <s v="Recovery"/>
    <n v="200"/>
    <s v="AHY"/>
    <s v="F"/>
    <n v="9"/>
    <n v="2020"/>
    <n v="2020"/>
    <n v="16"/>
    <x v="0"/>
    <s v="16B"/>
    <x v="15"/>
    <n v="1"/>
    <n v="7"/>
    <x v="0"/>
    <x v="0"/>
  </r>
  <r>
    <n v="19860"/>
    <n v="125846499"/>
    <s v="Recovery"/>
    <n v="200"/>
    <s v="AHY"/>
    <s v="M"/>
    <n v="12"/>
    <n v="2020"/>
    <n v="2020"/>
    <n v="16"/>
    <x v="0"/>
    <s v="16B"/>
    <x v="15"/>
    <n v="1"/>
    <n v="7"/>
    <x v="0"/>
    <x v="0"/>
  </r>
  <r>
    <n v="19889"/>
    <n v="125846528"/>
    <s v="Recovery"/>
    <n v="200"/>
    <s v="AHY"/>
    <s v="M"/>
    <n v="9"/>
    <n v="2020"/>
    <n v="2020"/>
    <n v="16"/>
    <x v="0"/>
    <s v="16B"/>
    <x v="15"/>
    <n v="1"/>
    <n v="7"/>
    <x v="0"/>
    <x v="0"/>
  </r>
  <r>
    <n v="19894"/>
    <n v="125846533"/>
    <s v="Recovery"/>
    <n v="200"/>
    <s v="AHY"/>
    <s v="F"/>
    <n v="9"/>
    <n v="2020"/>
    <n v="2020"/>
    <n v="16"/>
    <x v="0"/>
    <s v="16B"/>
    <x v="15"/>
    <n v="1"/>
    <n v="7"/>
    <x v="0"/>
    <x v="0"/>
  </r>
  <r>
    <n v="19895"/>
    <n v="125846534"/>
    <s v="Recovery"/>
    <n v="200"/>
    <s v="AHY"/>
    <s v="M"/>
    <n v="9"/>
    <n v="2020"/>
    <n v="2020"/>
    <n v="16"/>
    <x v="0"/>
    <s v="16B"/>
    <x v="15"/>
    <n v="1"/>
    <n v="7"/>
    <x v="0"/>
    <x v="0"/>
  </r>
  <r>
    <n v="19905"/>
    <n v="125846544"/>
    <s v="Recovery"/>
    <n v="200"/>
    <s v="AHY"/>
    <s v="F"/>
    <n v="9"/>
    <n v="2020"/>
    <n v="2020"/>
    <n v="16"/>
    <x v="0"/>
    <s v="16B"/>
    <x v="15"/>
    <n v="1"/>
    <n v="7"/>
    <x v="0"/>
    <x v="0"/>
  </r>
  <r>
    <n v="19910"/>
    <n v="125846549"/>
    <s v="Recovery"/>
    <n v="200"/>
    <s v="AHY"/>
    <s v="M"/>
    <n v="9"/>
    <n v="2020"/>
    <n v="2020"/>
    <n v="16"/>
    <x v="0"/>
    <s v="16B"/>
    <x v="15"/>
    <n v="1"/>
    <n v="7"/>
    <x v="0"/>
    <x v="0"/>
  </r>
  <r>
    <n v="19927"/>
    <n v="125846566"/>
    <s v="Recovery"/>
    <n v="200"/>
    <s v="AHY"/>
    <s v="M"/>
    <n v="9"/>
    <n v="2019"/>
    <n v="2019"/>
    <n v="15"/>
    <x v="0"/>
    <s v="15B"/>
    <x v="11"/>
    <n v="1"/>
    <n v="7"/>
    <x v="0"/>
    <x v="0"/>
  </r>
  <r>
    <n v="19932"/>
    <n v="125846571"/>
    <s v="Recovery"/>
    <n v="200"/>
    <s v="AHY"/>
    <s v="M"/>
    <n v="9"/>
    <n v="2019"/>
    <n v="2019"/>
    <n v="15"/>
    <x v="0"/>
    <s v="15B"/>
    <x v="11"/>
    <n v="1"/>
    <n v="7"/>
    <x v="0"/>
    <x v="0"/>
  </r>
  <r>
    <n v="19934"/>
    <n v="125846573"/>
    <s v="Recovery"/>
    <n v="200"/>
    <s v="AHY"/>
    <s v="F"/>
    <n v="9"/>
    <n v="2020"/>
    <n v="2020"/>
    <n v="16"/>
    <x v="0"/>
    <s v="16B"/>
    <x v="15"/>
    <n v="1"/>
    <n v="7"/>
    <x v="0"/>
    <x v="0"/>
  </r>
  <r>
    <n v="19939"/>
    <n v="125846578"/>
    <s v="Recovery"/>
    <n v="200"/>
    <s v="AHY"/>
    <s v="F"/>
    <n v="9"/>
    <n v="2020"/>
    <n v="2020"/>
    <n v="16"/>
    <x v="0"/>
    <s v="16B"/>
    <x v="15"/>
    <n v="1"/>
    <n v="7"/>
    <x v="0"/>
    <x v="0"/>
  </r>
  <r>
    <n v="19940"/>
    <n v="125846579"/>
    <s v="Recovery"/>
    <n v="200"/>
    <s v="AHY"/>
    <s v="F"/>
    <n v="9"/>
    <n v="2020"/>
    <n v="2020"/>
    <n v="16"/>
    <x v="0"/>
    <s v="16B"/>
    <x v="15"/>
    <n v="1"/>
    <n v="7"/>
    <x v="0"/>
    <x v="0"/>
  </r>
  <r>
    <n v="19942"/>
    <n v="125846581"/>
    <s v="Recovery"/>
    <n v="200"/>
    <s v="AHY"/>
    <s v="F"/>
    <n v="9"/>
    <n v="2020"/>
    <n v="2020"/>
    <n v="16"/>
    <x v="0"/>
    <s v="16B"/>
    <x v="15"/>
    <n v="1"/>
    <n v="7"/>
    <x v="0"/>
    <x v="0"/>
  </r>
  <r>
    <n v="19951"/>
    <n v="125846590"/>
    <s v="Recovery"/>
    <n v="200"/>
    <s v="AHY"/>
    <s v="F"/>
    <n v="11"/>
    <n v="2020"/>
    <n v="2020"/>
    <n v="16"/>
    <x v="0"/>
    <s v="16B"/>
    <x v="15"/>
    <n v="1"/>
    <n v="7"/>
    <x v="0"/>
    <x v="0"/>
  </r>
  <r>
    <n v="19953"/>
    <n v="125846592"/>
    <s v="Recovery"/>
    <n v="200"/>
    <s v="AHY"/>
    <s v="F"/>
    <n v="9"/>
    <n v="2020"/>
    <n v="2020"/>
    <n v="16"/>
    <x v="0"/>
    <s v="16B"/>
    <x v="15"/>
    <n v="1"/>
    <n v="7"/>
    <x v="0"/>
    <x v="0"/>
  </r>
  <r>
    <n v="19962"/>
    <n v="125846601"/>
    <s v="Recovery"/>
    <n v="200"/>
    <s v="AHY"/>
    <s v="F"/>
    <n v="1"/>
    <n v="2020"/>
    <n v="2019"/>
    <n v="15"/>
    <x v="0"/>
    <s v="15B"/>
    <x v="11"/>
    <n v="1"/>
    <n v="52"/>
    <x v="11"/>
    <x v="1"/>
  </r>
  <r>
    <n v="19963"/>
    <n v="125846602"/>
    <s v="Recovery"/>
    <n v="200"/>
    <s v="AHY"/>
    <s v="M"/>
    <n v="9"/>
    <n v="2020"/>
    <n v="2020"/>
    <n v="16"/>
    <x v="0"/>
    <s v="16B"/>
    <x v="15"/>
    <n v="1"/>
    <n v="7"/>
    <x v="0"/>
    <x v="0"/>
  </r>
  <r>
    <n v="19966"/>
    <n v="125846605"/>
    <s v="Recovery"/>
    <n v="200"/>
    <s v="AHY"/>
    <s v="M"/>
    <n v="9"/>
    <n v="2019"/>
    <n v="2019"/>
    <n v="15"/>
    <x v="0"/>
    <s v="15B"/>
    <x v="11"/>
    <n v="1"/>
    <n v="7"/>
    <x v="0"/>
    <x v="0"/>
  </r>
  <r>
    <n v="19967"/>
    <n v="125846606"/>
    <s v="Recovery"/>
    <n v="200"/>
    <s v="AHY"/>
    <s v="F"/>
    <n v="9"/>
    <n v="2019"/>
    <n v="2019"/>
    <n v="15"/>
    <x v="0"/>
    <s v="15B"/>
    <x v="11"/>
    <n v="1"/>
    <n v="7"/>
    <x v="0"/>
    <x v="0"/>
  </r>
  <r>
    <n v="19974"/>
    <n v="125846613"/>
    <s v="Recovery"/>
    <n v="200"/>
    <s v="AHY"/>
    <s v="M"/>
    <n v="9"/>
    <n v="2020"/>
    <n v="2020"/>
    <n v="16"/>
    <x v="0"/>
    <s v="16B"/>
    <x v="15"/>
    <n v="1"/>
    <n v="7"/>
    <x v="0"/>
    <x v="0"/>
  </r>
  <r>
    <n v="19989"/>
    <n v="125846628"/>
    <s v="Recovery"/>
    <n v="200"/>
    <s v="AHY"/>
    <s v="F"/>
    <n v="9"/>
    <n v="2019"/>
    <n v="2019"/>
    <n v="15"/>
    <x v="0"/>
    <s v="15B"/>
    <x v="11"/>
    <n v="1"/>
    <n v="7"/>
    <x v="0"/>
    <x v="0"/>
  </r>
  <r>
    <n v="19991"/>
    <n v="125846630"/>
    <s v="Recovery"/>
    <n v="200"/>
    <s v="AHY"/>
    <s v="M"/>
    <n v="9"/>
    <n v="2020"/>
    <n v="2020"/>
    <n v="16"/>
    <x v="0"/>
    <s v="16B"/>
    <x v="15"/>
    <n v="1"/>
    <n v="7"/>
    <x v="0"/>
    <x v="0"/>
  </r>
  <r>
    <n v="19994"/>
    <n v="125846633"/>
    <s v="Recovery"/>
    <n v="200"/>
    <s v="AHY"/>
    <s v="F"/>
    <n v="9"/>
    <n v="2019"/>
    <n v="2019"/>
    <n v="15"/>
    <x v="0"/>
    <s v="15B"/>
    <x v="11"/>
    <n v="1"/>
    <n v="7"/>
    <x v="0"/>
    <x v="0"/>
  </r>
  <r>
    <n v="19997"/>
    <n v="125846636"/>
    <s v="Recovery"/>
    <n v="200"/>
    <s v="AHY"/>
    <s v="M"/>
    <n v="1"/>
    <n v="2020"/>
    <n v="2019"/>
    <n v="15"/>
    <x v="0"/>
    <s v="15B"/>
    <x v="11"/>
    <n v="1"/>
    <n v="7"/>
    <x v="0"/>
    <x v="0"/>
  </r>
  <r>
    <n v="20001"/>
    <n v="125846640"/>
    <s v="Recovery"/>
    <n v="200"/>
    <s v="AHY"/>
    <s v="F"/>
    <n v="9"/>
    <n v="2020"/>
    <n v="2020"/>
    <n v="16"/>
    <x v="0"/>
    <s v="16B"/>
    <x v="15"/>
    <n v="1"/>
    <n v="7"/>
    <x v="0"/>
    <x v="0"/>
  </r>
  <r>
    <n v="20003"/>
    <n v="125846642"/>
    <s v="Recovery"/>
    <n v="200"/>
    <s v="AHY"/>
    <s v="F"/>
    <n v="9"/>
    <n v="2019"/>
    <n v="2019"/>
    <n v="15"/>
    <x v="0"/>
    <s v="15B"/>
    <x v="11"/>
    <n v="1"/>
    <n v="7"/>
    <x v="0"/>
    <x v="0"/>
  </r>
  <r>
    <n v="20008"/>
    <n v="125846647"/>
    <s v="Recovery"/>
    <n v="200"/>
    <s v="AHY"/>
    <s v="M"/>
    <n v="9"/>
    <n v="2019"/>
    <n v="2019"/>
    <n v="15"/>
    <x v="0"/>
    <s v="15B"/>
    <x v="11"/>
    <n v="1"/>
    <n v="7"/>
    <x v="0"/>
    <x v="0"/>
  </r>
  <r>
    <n v="20014"/>
    <n v="125846653"/>
    <s v="Recovery"/>
    <n v="200"/>
    <s v="AHY"/>
    <s v="M"/>
    <n v="11"/>
    <n v="2019"/>
    <n v="2019"/>
    <n v="15"/>
    <x v="0"/>
    <s v="15B"/>
    <x v="11"/>
    <n v="1"/>
    <n v="7"/>
    <x v="0"/>
    <x v="0"/>
  </r>
  <r>
    <n v="20026"/>
    <n v="125846665"/>
    <s v="Recovery"/>
    <n v="200"/>
    <s v="AHY"/>
    <s v="M"/>
    <n v="9"/>
    <n v="2020"/>
    <n v="2020"/>
    <n v="16"/>
    <x v="0"/>
    <s v="16B"/>
    <x v="15"/>
    <n v="1"/>
    <n v="7"/>
    <x v="0"/>
    <x v="0"/>
  </r>
  <r>
    <n v="20033"/>
    <n v="125846672"/>
    <s v="Recovery"/>
    <n v="200"/>
    <s v="AHY"/>
    <s v="F"/>
    <n v="9"/>
    <n v="2019"/>
    <n v="2019"/>
    <n v="15"/>
    <x v="0"/>
    <s v="15B"/>
    <x v="11"/>
    <n v="1"/>
    <n v="7"/>
    <x v="0"/>
    <x v="0"/>
  </r>
  <r>
    <n v="20034"/>
    <n v="125846673"/>
    <s v="Recovery"/>
    <n v="200"/>
    <s v="AHY"/>
    <s v="F"/>
    <n v="9"/>
    <n v="2019"/>
    <n v="2019"/>
    <n v="15"/>
    <x v="0"/>
    <s v="15B"/>
    <x v="11"/>
    <n v="1"/>
    <n v="7"/>
    <x v="0"/>
    <x v="0"/>
  </r>
  <r>
    <n v="20035"/>
    <n v="125846674"/>
    <s v="Recovery"/>
    <n v="200"/>
    <s v="AHY"/>
    <s v="F"/>
    <n v="9"/>
    <n v="2019"/>
    <n v="2019"/>
    <n v="15"/>
    <x v="0"/>
    <s v="15B"/>
    <x v="11"/>
    <n v="1"/>
    <n v="7"/>
    <x v="0"/>
    <x v="0"/>
  </r>
  <r>
    <n v="20039"/>
    <n v="125846678"/>
    <s v="Recovery"/>
    <n v="200"/>
    <s v="AHY"/>
    <s v="F"/>
    <n v="9"/>
    <n v="2020"/>
    <n v="2020"/>
    <n v="16"/>
    <x v="0"/>
    <s v="16B"/>
    <x v="15"/>
    <n v="1"/>
    <n v="7"/>
    <x v="0"/>
    <x v="0"/>
  </r>
  <r>
    <n v="20045"/>
    <n v="125846684"/>
    <s v="Recovery"/>
    <n v="200"/>
    <s v="AHY"/>
    <s v="M"/>
    <n v="9"/>
    <n v="2020"/>
    <n v="2020"/>
    <n v="16"/>
    <x v="0"/>
    <s v="16B"/>
    <x v="15"/>
    <n v="1"/>
    <n v="7"/>
    <x v="0"/>
    <x v="0"/>
  </r>
  <r>
    <n v="20049"/>
    <n v="125846688"/>
    <s v="Recovery"/>
    <n v="200"/>
    <s v="AHY"/>
    <s v="M"/>
    <n v="11"/>
    <n v="2019"/>
    <n v="2019"/>
    <n v="15"/>
    <x v="0"/>
    <s v="15B"/>
    <x v="11"/>
    <n v="1"/>
    <n v="7"/>
    <x v="0"/>
    <x v="0"/>
  </r>
  <r>
    <n v="20050"/>
    <n v="125846689"/>
    <s v="Recovery"/>
    <n v="200"/>
    <s v="AHY"/>
    <s v="M"/>
    <n v="9"/>
    <n v="2020"/>
    <n v="2020"/>
    <n v="16"/>
    <x v="0"/>
    <s v="16B"/>
    <x v="15"/>
    <n v="1"/>
    <n v="34"/>
    <x v="9"/>
    <x v="1"/>
  </r>
  <r>
    <n v="20087"/>
    <n v="125846726"/>
    <s v="Recovery"/>
    <n v="200"/>
    <s v="AHY"/>
    <s v="M"/>
    <n v="9"/>
    <n v="2019"/>
    <n v="2019"/>
    <n v="15"/>
    <x v="0"/>
    <s v="15B"/>
    <x v="11"/>
    <n v="1"/>
    <n v="7"/>
    <x v="0"/>
    <x v="0"/>
  </r>
  <r>
    <n v="20096"/>
    <n v="125846735"/>
    <s v="Recovery"/>
    <n v="200"/>
    <s v="AHY"/>
    <s v="M"/>
    <n v="9"/>
    <n v="2020"/>
    <n v="2020"/>
    <n v="16"/>
    <x v="0"/>
    <s v="16B"/>
    <x v="15"/>
    <n v="1"/>
    <n v="50"/>
    <x v="3"/>
    <x v="1"/>
  </r>
  <r>
    <n v="20107"/>
    <n v="125846746"/>
    <s v="Recovery"/>
    <n v="200"/>
    <s v="AHY"/>
    <s v="M"/>
    <n v="12"/>
    <n v="2019"/>
    <n v="2019"/>
    <n v="15"/>
    <x v="0"/>
    <s v="15B"/>
    <x v="11"/>
    <n v="1"/>
    <n v="7"/>
    <x v="0"/>
    <x v="0"/>
  </r>
  <r>
    <n v="20111"/>
    <n v="125846750"/>
    <s v="Recovery"/>
    <n v="200"/>
    <s v="AHY"/>
    <s v="F"/>
    <n v="12"/>
    <n v="2019"/>
    <n v="2019"/>
    <n v="15"/>
    <x v="0"/>
    <s v="15B"/>
    <x v="11"/>
    <n v="1"/>
    <n v="7"/>
    <x v="0"/>
    <x v="0"/>
  </r>
  <r>
    <n v="20113"/>
    <n v="125846752"/>
    <s v="Recovery"/>
    <n v="200"/>
    <s v="AHY"/>
    <s v="M"/>
    <n v="9"/>
    <n v="2019"/>
    <n v="2019"/>
    <n v="15"/>
    <x v="0"/>
    <s v="15B"/>
    <x v="11"/>
    <n v="1"/>
    <n v="7"/>
    <x v="0"/>
    <x v="0"/>
  </r>
  <r>
    <n v="20138"/>
    <n v="125846777"/>
    <s v="Recovery"/>
    <n v="200"/>
    <s v="AHY"/>
    <s v="M"/>
    <n v="1"/>
    <n v="2020"/>
    <n v="2019"/>
    <n v="15"/>
    <x v="0"/>
    <s v="15B"/>
    <x v="11"/>
    <n v="1"/>
    <n v="7"/>
    <x v="0"/>
    <x v="0"/>
  </r>
  <r>
    <n v="20156"/>
    <n v="125846795"/>
    <s v="Recovery"/>
    <n v="200"/>
    <s v="AHY"/>
    <s v="M"/>
    <n v="9"/>
    <n v="2020"/>
    <n v="2020"/>
    <n v="16"/>
    <x v="0"/>
    <s v="16B"/>
    <x v="15"/>
    <n v="1"/>
    <n v="7"/>
    <x v="0"/>
    <x v="0"/>
  </r>
  <r>
    <n v="20172"/>
    <n v="125856011"/>
    <s v="Recovery"/>
    <n v="200"/>
    <s v="AHY"/>
    <s v="F"/>
    <n v="1"/>
    <n v="2020"/>
    <n v="2019"/>
    <n v="15"/>
    <x v="0"/>
    <s v="15B"/>
    <x v="11"/>
    <n v="1"/>
    <n v="7"/>
    <x v="0"/>
    <x v="0"/>
  </r>
  <r>
    <n v="20179"/>
    <n v="125856018"/>
    <s v="Recovery"/>
    <n v="200"/>
    <s v="AHY"/>
    <s v="F"/>
    <n v="9"/>
    <n v="2020"/>
    <n v="2020"/>
    <n v="16"/>
    <x v="0"/>
    <s v="16B"/>
    <x v="15"/>
    <n v="1"/>
    <n v="50"/>
    <x v="3"/>
    <x v="1"/>
  </r>
  <r>
    <n v="20190"/>
    <n v="125856029"/>
    <s v="Recovery"/>
    <n v="200"/>
    <s v="AHY"/>
    <s v="F"/>
    <n v="9"/>
    <n v="2020"/>
    <n v="2020"/>
    <n v="16"/>
    <x v="0"/>
    <s v="16B"/>
    <x v="15"/>
    <n v="1"/>
    <n v="50"/>
    <x v="3"/>
    <x v="1"/>
  </r>
  <r>
    <n v="20193"/>
    <n v="125856032"/>
    <s v="Recovery"/>
    <n v="200"/>
    <s v="AHY"/>
    <s v="M"/>
    <n v="1"/>
    <n v="2021"/>
    <n v="2020"/>
    <n v="16"/>
    <x v="0"/>
    <s v="16B"/>
    <x v="15"/>
    <n v="1"/>
    <n v="7"/>
    <x v="0"/>
    <x v="0"/>
  </r>
  <r>
    <n v="20195"/>
    <n v="125856034"/>
    <s v="Recovery"/>
    <n v="200"/>
    <s v="AHY"/>
    <s v="F"/>
    <n v="1"/>
    <n v="2021"/>
    <n v="2020"/>
    <n v="16"/>
    <x v="0"/>
    <s v="16B"/>
    <x v="15"/>
    <n v="1"/>
    <n v="7"/>
    <x v="0"/>
    <x v="0"/>
  </r>
  <r>
    <n v="20199"/>
    <n v="125856038"/>
    <s v="Recovery"/>
    <n v="200"/>
    <s v="AHY"/>
    <s v="F"/>
    <n v="1"/>
    <n v="2020"/>
    <n v="2019"/>
    <n v="15"/>
    <x v="0"/>
    <s v="15B"/>
    <x v="11"/>
    <n v="1"/>
    <n v="7"/>
    <x v="0"/>
    <x v="0"/>
  </r>
  <r>
    <n v="20209"/>
    <n v="125856048"/>
    <s v="Recovery"/>
    <n v="200"/>
    <s v="AHY"/>
    <s v="F"/>
    <n v="12"/>
    <n v="2020"/>
    <n v="2020"/>
    <n v="16"/>
    <x v="0"/>
    <s v="16B"/>
    <x v="15"/>
    <n v="1"/>
    <n v="7"/>
    <x v="0"/>
    <x v="0"/>
  </r>
  <r>
    <n v="20223"/>
    <n v="125856062"/>
    <s v="Recovery"/>
    <n v="200"/>
    <s v="AHY"/>
    <s v="F"/>
    <n v="1"/>
    <n v="2021"/>
    <n v="2020"/>
    <n v="16"/>
    <x v="0"/>
    <s v="16B"/>
    <x v="15"/>
    <n v="1"/>
    <n v="7"/>
    <x v="0"/>
    <x v="0"/>
  </r>
  <r>
    <n v="20231"/>
    <n v="125856070"/>
    <s v="Recovery"/>
    <n v="200"/>
    <s v="AHY"/>
    <s v="M"/>
    <n v="9"/>
    <n v="2019"/>
    <n v="2019"/>
    <n v="15"/>
    <x v="0"/>
    <s v="15B"/>
    <x v="11"/>
    <n v="1"/>
    <n v="7"/>
    <x v="0"/>
    <x v="0"/>
  </r>
  <r>
    <n v="20233"/>
    <n v="125856072"/>
    <s v="Recovery"/>
    <n v="200"/>
    <s v="AHY"/>
    <s v="F"/>
    <n v="9"/>
    <n v="2019"/>
    <n v="2019"/>
    <n v="15"/>
    <x v="0"/>
    <s v="15B"/>
    <x v="11"/>
    <n v="1"/>
    <n v="7"/>
    <x v="0"/>
    <x v="0"/>
  </r>
  <r>
    <n v="20239"/>
    <n v="125856078"/>
    <s v="Recovery"/>
    <n v="200"/>
    <s v="AHY"/>
    <s v="F"/>
    <n v="12"/>
    <n v="2019"/>
    <n v="2019"/>
    <n v="15"/>
    <x v="0"/>
    <s v="15B"/>
    <x v="11"/>
    <n v="1"/>
    <n v="7"/>
    <x v="0"/>
    <x v="0"/>
  </r>
  <r>
    <n v="20240"/>
    <n v="125856079"/>
    <s v="Recovery"/>
    <n v="200"/>
    <s v="AHY"/>
    <s v="M"/>
    <n v="9"/>
    <n v="2020"/>
    <n v="2020"/>
    <n v="16"/>
    <x v="0"/>
    <s v="16B"/>
    <x v="15"/>
    <n v="1"/>
    <n v="7"/>
    <x v="0"/>
    <x v="0"/>
  </r>
  <r>
    <n v="20242"/>
    <n v="125856081"/>
    <s v="Recovery"/>
    <n v="200"/>
    <s v="AHY"/>
    <s v="F"/>
    <n v="12"/>
    <n v="2019"/>
    <n v="2019"/>
    <n v="15"/>
    <x v="0"/>
    <s v="15B"/>
    <x v="11"/>
    <n v="1"/>
    <n v="7"/>
    <x v="0"/>
    <x v="0"/>
  </r>
  <r>
    <n v="20288"/>
    <n v="125856127"/>
    <s v="Recovery"/>
    <n v="200"/>
    <s v="HY"/>
    <s v="M"/>
    <n v="12"/>
    <n v="2020"/>
    <n v="2020"/>
    <n v="16"/>
    <x v="0"/>
    <s v="16B"/>
    <x v="15"/>
    <n v="1"/>
    <n v="7"/>
    <x v="0"/>
    <x v="0"/>
  </r>
  <r>
    <n v="20296"/>
    <n v="125856135"/>
    <s v="Recovery"/>
    <n v="200"/>
    <s v="HY"/>
    <s v="M"/>
    <n v="11"/>
    <n v="2020"/>
    <n v="2020"/>
    <n v="16"/>
    <x v="0"/>
    <s v="16B"/>
    <x v="15"/>
    <n v="1"/>
    <n v="7"/>
    <x v="0"/>
    <x v="0"/>
  </r>
  <r>
    <n v="20297"/>
    <n v="125856136"/>
    <s v="Recovery"/>
    <n v="200"/>
    <s v="HY"/>
    <s v="F"/>
    <n v="12"/>
    <n v="2020"/>
    <n v="2020"/>
    <n v="16"/>
    <x v="0"/>
    <s v="16B"/>
    <x v="15"/>
    <n v="1"/>
    <n v="7"/>
    <x v="0"/>
    <x v="0"/>
  </r>
  <r>
    <n v="20303"/>
    <n v="125856142"/>
    <s v="Recovery"/>
    <n v="200"/>
    <s v="HY"/>
    <s v="M"/>
    <n v="11"/>
    <n v="2020"/>
    <n v="2020"/>
    <n v="16"/>
    <x v="0"/>
    <s v="16B"/>
    <x v="15"/>
    <n v="1"/>
    <n v="7"/>
    <x v="0"/>
    <x v="0"/>
  </r>
  <r>
    <n v="20316"/>
    <n v="125856155"/>
    <s v="Recovery"/>
    <n v="200"/>
    <s v="AHY"/>
    <s v="F"/>
    <n v="9"/>
    <n v="2020"/>
    <n v="2020"/>
    <n v="16"/>
    <x v="0"/>
    <s v="16B"/>
    <x v="15"/>
    <n v="1"/>
    <n v="7"/>
    <x v="0"/>
    <x v="0"/>
  </r>
  <r>
    <n v="20326"/>
    <n v="125856165"/>
    <s v="Recovery"/>
    <n v="200"/>
    <s v="HY"/>
    <s v="M"/>
    <n v="11"/>
    <n v="2020"/>
    <n v="2020"/>
    <n v="16"/>
    <x v="0"/>
    <s v="16B"/>
    <x v="15"/>
    <n v="1"/>
    <n v="7"/>
    <x v="0"/>
    <x v="0"/>
  </r>
  <r>
    <n v="20330"/>
    <n v="125856169"/>
    <s v="Recovery"/>
    <n v="200"/>
    <s v="HY"/>
    <s v="F"/>
    <n v="1"/>
    <n v="2021"/>
    <n v="2020"/>
    <n v="16"/>
    <x v="0"/>
    <s v="16B"/>
    <x v="15"/>
    <n v="1"/>
    <n v="7"/>
    <x v="0"/>
    <x v="0"/>
  </r>
  <r>
    <n v="20334"/>
    <n v="125856173"/>
    <s v="Recovery"/>
    <n v="200"/>
    <s v="AHY"/>
    <s v="M"/>
    <n v="11"/>
    <n v="2020"/>
    <n v="2020"/>
    <n v="16"/>
    <x v="0"/>
    <s v="16B"/>
    <x v="15"/>
    <n v="1"/>
    <n v="7"/>
    <x v="0"/>
    <x v="0"/>
  </r>
  <r>
    <n v="20338"/>
    <n v="125856177"/>
    <s v="Recovery"/>
    <n v="200"/>
    <s v="HY"/>
    <s v="F"/>
    <n v="9"/>
    <n v="2020"/>
    <n v="2020"/>
    <n v="16"/>
    <x v="0"/>
    <s v="16B"/>
    <x v="15"/>
    <n v="1"/>
    <n v="7"/>
    <x v="0"/>
    <x v="0"/>
  </r>
  <r>
    <n v="20340"/>
    <n v="125856179"/>
    <s v="Recovery"/>
    <n v="200"/>
    <s v="HY"/>
    <s v="F"/>
    <n v="9"/>
    <n v="2020"/>
    <n v="2020"/>
    <n v="16"/>
    <x v="0"/>
    <s v="16B"/>
    <x v="15"/>
    <n v="1"/>
    <n v="7"/>
    <x v="0"/>
    <x v="0"/>
  </r>
  <r>
    <n v="20345"/>
    <n v="125856184"/>
    <s v="Recovery"/>
    <n v="200"/>
    <s v="AHY"/>
    <s v="M"/>
    <n v="12"/>
    <n v="2020"/>
    <n v="2020"/>
    <n v="16"/>
    <x v="0"/>
    <s v="16B"/>
    <x v="15"/>
    <n v="1"/>
    <n v="7"/>
    <x v="0"/>
    <x v="0"/>
  </r>
  <r>
    <n v="20350"/>
    <n v="125856189"/>
    <s v="Recovery"/>
    <n v="200"/>
    <s v="AHY"/>
    <s v="F"/>
    <n v="10"/>
    <n v="2020"/>
    <n v="2020"/>
    <n v="16"/>
    <x v="0"/>
    <s v="16B"/>
    <x v="15"/>
    <n v="1"/>
    <n v="7"/>
    <x v="0"/>
    <x v="0"/>
  </r>
  <r>
    <n v="20357"/>
    <n v="125856196"/>
    <s v="Recovery"/>
    <n v="200"/>
    <s v="AHY"/>
    <s v="F"/>
    <n v="9"/>
    <n v="2020"/>
    <n v="2020"/>
    <n v="16"/>
    <x v="0"/>
    <s v="16B"/>
    <x v="15"/>
    <n v="1"/>
    <n v="7"/>
    <x v="0"/>
    <x v="0"/>
  </r>
  <r>
    <n v="20360"/>
    <n v="125856199"/>
    <s v="Recovery"/>
    <n v="200"/>
    <s v="AHY"/>
    <s v="M"/>
    <n v="1"/>
    <n v="2021"/>
    <n v="2020"/>
    <n v="16"/>
    <x v="0"/>
    <s v="16B"/>
    <x v="15"/>
    <n v="1"/>
    <n v="7"/>
    <x v="0"/>
    <x v="0"/>
  </r>
  <r>
    <n v="20366"/>
    <n v="125856205"/>
    <s v="Recovery"/>
    <n v="200"/>
    <s v="AHY"/>
    <s v="F"/>
    <n v="12"/>
    <n v="2020"/>
    <n v="2020"/>
    <n v="16"/>
    <x v="0"/>
    <s v="16B"/>
    <x v="15"/>
    <n v="1"/>
    <n v="7"/>
    <x v="0"/>
    <x v="0"/>
  </r>
  <r>
    <n v="20371"/>
    <n v="125856210"/>
    <s v="Recovery"/>
    <n v="200"/>
    <s v="AHY"/>
    <s v="F"/>
    <n v="12"/>
    <n v="2020"/>
    <n v="2020"/>
    <n v="16"/>
    <x v="0"/>
    <s v="16B"/>
    <x v="15"/>
    <n v="1"/>
    <n v="7"/>
    <x v="0"/>
    <x v="0"/>
  </r>
  <r>
    <n v="20383"/>
    <n v="125856222"/>
    <s v="Recovery"/>
    <n v="200"/>
    <s v="AHY"/>
    <s v="F"/>
    <n v="9"/>
    <n v="2020"/>
    <n v="2020"/>
    <n v="16"/>
    <x v="0"/>
    <s v="16B"/>
    <x v="15"/>
    <n v="1"/>
    <n v="7"/>
    <x v="0"/>
    <x v="0"/>
  </r>
  <r>
    <n v="20384"/>
    <n v="125856223"/>
    <s v="Recovery"/>
    <n v="200"/>
    <s v="AHY"/>
    <s v="F"/>
    <n v="1"/>
    <n v="2021"/>
    <n v="2020"/>
    <n v="16"/>
    <x v="0"/>
    <s v="16B"/>
    <x v="15"/>
    <n v="1"/>
    <n v="7"/>
    <x v="0"/>
    <x v="0"/>
  </r>
  <r>
    <n v="20409"/>
    <n v="125856248"/>
    <s v="Recovery"/>
    <n v="200"/>
    <s v="AHY"/>
    <s v="F"/>
    <n v="9"/>
    <n v="2020"/>
    <n v="2020"/>
    <n v="16"/>
    <x v="0"/>
    <s v="16B"/>
    <x v="15"/>
    <n v="1"/>
    <n v="7"/>
    <x v="0"/>
    <x v="0"/>
  </r>
  <r>
    <n v="20442"/>
    <n v="125856281"/>
    <s v="Recovery"/>
    <n v="200"/>
    <s v="AHY"/>
    <s v="M"/>
    <n v="9"/>
    <n v="2020"/>
    <n v="2020"/>
    <n v="16"/>
    <x v="0"/>
    <s v="16B"/>
    <x v="15"/>
    <n v="1"/>
    <n v="7"/>
    <x v="0"/>
    <x v="0"/>
  </r>
  <r>
    <n v="20449"/>
    <n v="125856288"/>
    <s v="Recovery"/>
    <n v="200"/>
    <s v="AHY"/>
    <s v="F"/>
    <n v="1"/>
    <n v="2021"/>
    <n v="2020"/>
    <n v="16"/>
    <x v="0"/>
    <s v="16B"/>
    <x v="15"/>
    <n v="1"/>
    <n v="7"/>
    <x v="0"/>
    <x v="0"/>
  </r>
  <r>
    <n v="20464"/>
    <n v="127851033"/>
    <s v="Recovery"/>
    <n v="200"/>
    <s v="AHY"/>
    <s v="M"/>
    <n v="9"/>
    <n v="2020"/>
    <n v="2020"/>
    <n v="16"/>
    <x v="0"/>
    <s v="16B"/>
    <x v="15"/>
    <n v="1"/>
    <n v="7"/>
    <x v="0"/>
    <x v="0"/>
  </r>
  <r>
    <n v="20475"/>
    <n v="127851044"/>
    <s v="Recovery"/>
    <n v="200"/>
    <s v="AHY"/>
    <s v="M"/>
    <n v="1"/>
    <n v="2021"/>
    <n v="2020"/>
    <n v="16"/>
    <x v="0"/>
    <s v="16B"/>
    <x v="15"/>
    <n v="1"/>
    <n v="7"/>
    <x v="0"/>
    <x v="0"/>
  </r>
  <r>
    <n v="20486"/>
    <n v="127851055"/>
    <s v="Recovery"/>
    <n v="200"/>
    <s v="HY"/>
    <s v="F"/>
    <n v="1"/>
    <n v="2021"/>
    <n v="2020"/>
    <n v="16"/>
    <x v="0"/>
    <s v="16B"/>
    <x v="15"/>
    <n v="1"/>
    <n v="7"/>
    <x v="0"/>
    <x v="0"/>
  </r>
  <r>
    <n v="20503"/>
    <n v="127851072"/>
    <s v="Recovery"/>
    <n v="200"/>
    <s v="AHY"/>
    <s v="M"/>
    <n v="1"/>
    <n v="2021"/>
    <n v="2020"/>
    <n v="16"/>
    <x v="0"/>
    <s v="16B"/>
    <x v="15"/>
    <n v="1"/>
    <n v="7"/>
    <x v="0"/>
    <x v="0"/>
  </r>
  <r>
    <n v="20528"/>
    <n v="127851097"/>
    <s v="Recovery"/>
    <n v="200"/>
    <s v="HY"/>
    <s v="M"/>
    <n v="1"/>
    <n v="2021"/>
    <n v="2020"/>
    <n v="16"/>
    <x v="0"/>
    <s v="16B"/>
    <x v="15"/>
    <n v="1"/>
    <n v="7"/>
    <x v="0"/>
    <x v="0"/>
  </r>
  <r>
    <n v="20538"/>
    <n v="127851107"/>
    <s v="Recovery"/>
    <n v="200"/>
    <s v="AHY"/>
    <s v="F"/>
    <n v="1"/>
    <n v="2021"/>
    <n v="2020"/>
    <n v="16"/>
    <x v="0"/>
    <s v="16B"/>
    <x v="15"/>
    <n v="1"/>
    <n v="7"/>
    <x v="0"/>
    <x v="0"/>
  </r>
  <r>
    <n v="20555"/>
    <n v="127851124"/>
    <s v="Recovery"/>
    <n v="200"/>
    <s v="AHY"/>
    <s v="F"/>
    <n v="1"/>
    <n v="2021"/>
    <n v="2020"/>
    <n v="16"/>
    <x v="0"/>
    <s v="16B"/>
    <x v="15"/>
    <n v="1"/>
    <n v="7"/>
    <x v="0"/>
    <x v="0"/>
  </r>
  <r>
    <n v="20558"/>
    <n v="127851127"/>
    <s v="Recovery"/>
    <n v="200"/>
    <s v="AHY"/>
    <s v="M"/>
    <n v="1"/>
    <n v="2021"/>
    <n v="2020"/>
    <n v="16"/>
    <x v="0"/>
    <s v="16B"/>
    <x v="15"/>
    <n v="1"/>
    <n v="7"/>
    <x v="0"/>
    <x v="0"/>
  </r>
  <r>
    <n v="20559"/>
    <n v="127851128"/>
    <s v="Recovery"/>
    <n v="200"/>
    <s v="AHY"/>
    <s v="F"/>
    <n v="12"/>
    <n v="2020"/>
    <n v="2020"/>
    <n v="16"/>
    <x v="0"/>
    <s v="16B"/>
    <x v="15"/>
    <n v="1"/>
    <n v="7"/>
    <x v="0"/>
    <x v="0"/>
  </r>
  <r>
    <n v="20566"/>
    <n v="127851135"/>
    <s v="Recovery"/>
    <n v="200"/>
    <s v="AHY"/>
    <s v="M"/>
    <n v="1"/>
    <n v="2021"/>
    <n v="2020"/>
    <n v="16"/>
    <x v="0"/>
    <s v="16B"/>
    <x v="15"/>
    <n v="1"/>
    <n v="7"/>
    <x v="0"/>
    <x v="0"/>
  </r>
  <r>
    <n v="20574"/>
    <n v="127851143"/>
    <s v="Recovery"/>
    <n v="200"/>
    <s v="AHY"/>
    <s v="M"/>
    <n v="1"/>
    <n v="2021"/>
    <n v="2020"/>
    <n v="16"/>
    <x v="0"/>
    <s v="16B"/>
    <x v="15"/>
    <n v="1"/>
    <n v="7"/>
    <x v="0"/>
    <x v="0"/>
  </r>
  <r>
    <n v="20579"/>
    <n v="127851148"/>
    <s v="Recovery"/>
    <n v="200"/>
    <s v="AHY"/>
    <s v="M"/>
    <n v="1"/>
    <n v="2021"/>
    <n v="2020"/>
    <n v="16"/>
    <x v="0"/>
    <s v="16B"/>
    <x v="15"/>
    <n v="1"/>
    <n v="7"/>
    <x v="0"/>
    <x v="0"/>
  </r>
  <r>
    <n v="20587"/>
    <n v="127851156"/>
    <s v="Recovery"/>
    <n v="200"/>
    <s v="AHY"/>
    <s v="F"/>
    <n v="9"/>
    <n v="2020"/>
    <n v="2020"/>
    <n v="16"/>
    <x v="0"/>
    <s v="16B"/>
    <x v="15"/>
    <n v="1"/>
    <n v="7"/>
    <x v="0"/>
    <x v="0"/>
  </r>
  <r>
    <n v="20592"/>
    <n v="127851161"/>
    <s v="Recovery"/>
    <n v="200"/>
    <s v="AHY"/>
    <s v="F"/>
    <n v="1"/>
    <n v="2021"/>
    <n v="2020"/>
    <n v="16"/>
    <x v="0"/>
    <s v="16B"/>
    <x v="15"/>
    <n v="1"/>
    <n v="7"/>
    <x v="0"/>
    <x v="0"/>
  </r>
  <r>
    <n v="20609"/>
    <n v="127851178"/>
    <s v="Recovery"/>
    <n v="200"/>
    <s v="AHY"/>
    <s v="F"/>
    <n v="12"/>
    <n v="2020"/>
    <n v="2020"/>
    <n v="16"/>
    <x v="0"/>
    <s v="16B"/>
    <x v="15"/>
    <n v="1"/>
    <n v="7"/>
    <x v="0"/>
    <x v="0"/>
  </r>
  <r>
    <n v="20641"/>
    <n v="127851210"/>
    <s v="Recovery"/>
    <n v="200"/>
    <s v="AHY"/>
    <s v="F"/>
    <n v="1"/>
    <n v="2021"/>
    <n v="2020"/>
    <n v="16"/>
    <x v="0"/>
    <s v="16B"/>
    <x v="15"/>
    <n v="1"/>
    <n v="7"/>
    <x v="0"/>
    <x v="0"/>
  </r>
  <r>
    <n v="20646"/>
    <n v="127851215"/>
    <s v="Recovery"/>
    <n v="200"/>
    <s v="AHY"/>
    <s v="M"/>
    <n v="1"/>
    <n v="2021"/>
    <n v="2020"/>
    <n v="16"/>
    <x v="0"/>
    <s v="16B"/>
    <x v="15"/>
    <n v="1"/>
    <n v="7"/>
    <x v="0"/>
    <x v="0"/>
  </r>
  <r>
    <n v="20661"/>
    <n v="127851230"/>
    <s v="Recovery"/>
    <n v="200"/>
    <s v="AHY"/>
    <s v="F"/>
    <n v="1"/>
    <n v="2021"/>
    <n v="2020"/>
    <n v="16"/>
    <x v="0"/>
    <s v="16B"/>
    <x v="15"/>
    <n v="1"/>
    <n v="7"/>
    <x v="0"/>
    <x v="0"/>
  </r>
  <r>
    <n v="20665"/>
    <n v="127851234"/>
    <s v="Recovery"/>
    <n v="200"/>
    <s v="AHY"/>
    <s v="M"/>
    <n v="1"/>
    <n v="2021"/>
    <n v="2020"/>
    <n v="16"/>
    <x v="0"/>
    <s v="16B"/>
    <x v="15"/>
    <n v="1"/>
    <n v="7"/>
    <x v="0"/>
    <x v="0"/>
  </r>
  <r>
    <n v="20677"/>
    <n v="127851246"/>
    <s v="Recovery"/>
    <n v="200"/>
    <s v="AHY"/>
    <s v="M"/>
    <n v="9"/>
    <n v="2020"/>
    <n v="2020"/>
    <n v="16"/>
    <x v="0"/>
    <s v="16B"/>
    <x v="15"/>
    <n v="1"/>
    <n v="7"/>
    <x v="0"/>
    <x v="0"/>
  </r>
  <r>
    <n v="20691"/>
    <n v="127851260"/>
    <s v="Recovery"/>
    <n v="200"/>
    <s v="AHY"/>
    <s v="M"/>
    <n v="9"/>
    <n v="2020"/>
    <n v="2020"/>
    <n v="16"/>
    <x v="0"/>
    <s v="16B"/>
    <x v="15"/>
    <n v="1"/>
    <n v="7"/>
    <x v="0"/>
    <x v="0"/>
  </r>
  <r>
    <n v="20694"/>
    <n v="127851263"/>
    <s v="Recovery"/>
    <n v="200"/>
    <s v="AHY"/>
    <s v="F"/>
    <n v="9"/>
    <n v="2020"/>
    <n v="2020"/>
    <n v="16"/>
    <x v="0"/>
    <s v="16B"/>
    <x v="15"/>
    <n v="1"/>
    <n v="7"/>
    <x v="0"/>
    <x v="0"/>
  </r>
  <r>
    <n v="20704"/>
    <n v="127851273"/>
    <s v="Recovery"/>
    <n v="200"/>
    <s v="AHY"/>
    <s v="M"/>
    <n v="9"/>
    <n v="2020"/>
    <n v="2020"/>
    <n v="16"/>
    <x v="0"/>
    <s v="16B"/>
    <x v="15"/>
    <n v="1"/>
    <n v="7"/>
    <x v="0"/>
    <x v="0"/>
  </r>
  <r>
    <n v="20708"/>
    <n v="127851277"/>
    <s v="Recovery"/>
    <n v="200"/>
    <s v="AHY"/>
    <s v="M"/>
    <n v="1"/>
    <n v="2021"/>
    <n v="2020"/>
    <n v="16"/>
    <x v="0"/>
    <s v="16B"/>
    <x v="15"/>
    <n v="1"/>
    <n v="7"/>
    <x v="0"/>
    <x v="0"/>
  </r>
  <r>
    <n v="20712"/>
    <n v="127851281"/>
    <s v="Recovery"/>
    <n v="200"/>
    <s v="HY"/>
    <s v="M"/>
    <n v="9"/>
    <n v="2020"/>
    <n v="2020"/>
    <n v="16"/>
    <x v="0"/>
    <s v="16B"/>
    <x v="15"/>
    <n v="1"/>
    <n v="7"/>
    <x v="0"/>
    <x v="0"/>
  </r>
  <r>
    <n v="20714"/>
    <n v="127851283"/>
    <s v="Recovery"/>
    <n v="200"/>
    <s v="HY"/>
    <s v="M"/>
    <n v="9"/>
    <n v="2020"/>
    <n v="2020"/>
    <n v="16"/>
    <x v="0"/>
    <s v="16B"/>
    <x v="15"/>
    <n v="1"/>
    <n v="7"/>
    <x v="0"/>
    <x v="0"/>
  </r>
  <r>
    <n v="20719"/>
    <n v="127851288"/>
    <s v="Recovery"/>
    <n v="200"/>
    <s v="HY"/>
    <s v="M"/>
    <n v="9"/>
    <n v="2020"/>
    <n v="2020"/>
    <n v="16"/>
    <x v="0"/>
    <s v="16B"/>
    <x v="15"/>
    <n v="1"/>
    <n v="7"/>
    <x v="0"/>
    <x v="0"/>
  </r>
  <r>
    <n v="20728"/>
    <n v="127851297"/>
    <s v="Recovery"/>
    <n v="200"/>
    <s v="AHY"/>
    <s v="F"/>
    <n v="1"/>
    <n v="2021"/>
    <n v="2020"/>
    <n v="16"/>
    <x v="0"/>
    <s v="16B"/>
    <x v="15"/>
    <n v="1"/>
    <n v="7"/>
    <x v="0"/>
    <x v="0"/>
  </r>
  <r>
    <n v="20734"/>
    <n v="127851303"/>
    <s v="Recovery"/>
    <n v="200"/>
    <s v="AHY"/>
    <s v="F"/>
    <n v="1"/>
    <n v="2021"/>
    <n v="2020"/>
    <n v="16"/>
    <x v="0"/>
    <s v="16B"/>
    <x v="15"/>
    <n v="1"/>
    <n v="7"/>
    <x v="0"/>
    <x v="0"/>
  </r>
  <r>
    <n v="20737"/>
    <n v="127851306"/>
    <s v="Recovery"/>
    <n v="200"/>
    <s v="AHY"/>
    <s v="M"/>
    <n v="1"/>
    <n v="2021"/>
    <n v="2020"/>
    <n v="16"/>
    <x v="0"/>
    <s v="16B"/>
    <x v="15"/>
    <n v="1"/>
    <n v="7"/>
    <x v="0"/>
    <x v="0"/>
  </r>
  <r>
    <n v="20740"/>
    <n v="127851309"/>
    <s v="Recovery"/>
    <n v="200"/>
    <s v="AHY"/>
    <s v="M"/>
    <n v="1"/>
    <n v="2021"/>
    <n v="2020"/>
    <n v="16"/>
    <x v="0"/>
    <s v="16B"/>
    <x v="15"/>
    <n v="1"/>
    <n v="7"/>
    <x v="0"/>
    <x v="0"/>
  </r>
  <r>
    <n v="20744"/>
    <n v="127851313"/>
    <s v="Recovery"/>
    <n v="200"/>
    <s v="AHY"/>
    <s v="M"/>
    <n v="9"/>
    <n v="2020"/>
    <n v="2020"/>
    <n v="16"/>
    <x v="0"/>
    <s v="16B"/>
    <x v="15"/>
    <n v="1"/>
    <n v="7"/>
    <x v="0"/>
    <x v="0"/>
  </r>
  <r>
    <n v="20758"/>
    <n v="127851327"/>
    <s v="Recovery"/>
    <n v="200"/>
    <s v="AHY"/>
    <s v="F"/>
    <n v="11"/>
    <n v="2020"/>
    <n v="2020"/>
    <n v="16"/>
    <x v="0"/>
    <s v="16B"/>
    <x v="15"/>
    <n v="1"/>
    <n v="7"/>
    <x v="0"/>
    <x v="0"/>
  </r>
  <r>
    <n v="20765"/>
    <n v="127851334"/>
    <s v="Recovery"/>
    <n v="200"/>
    <s v="HY"/>
    <s v="F"/>
    <n v="9"/>
    <n v="2020"/>
    <n v="2020"/>
    <n v="16"/>
    <x v="0"/>
    <s v="16B"/>
    <x v="15"/>
    <n v="1"/>
    <n v="7"/>
    <x v="0"/>
    <x v="0"/>
  </r>
  <r>
    <n v="20767"/>
    <n v="127851336"/>
    <s v="Recovery"/>
    <n v="200"/>
    <s v="AHY"/>
    <s v="M"/>
    <n v="9"/>
    <n v="2020"/>
    <n v="2020"/>
    <n v="16"/>
    <x v="0"/>
    <s v="16B"/>
    <x v="15"/>
    <n v="1"/>
    <n v="7"/>
    <x v="0"/>
    <x v="0"/>
  </r>
  <r>
    <n v="20781"/>
    <n v="127851350"/>
    <s v="Recovery"/>
    <n v="200"/>
    <s v="HY"/>
    <s v="M"/>
    <n v="1"/>
    <n v="2021"/>
    <n v="2020"/>
    <n v="16"/>
    <x v="0"/>
    <s v="16B"/>
    <x v="15"/>
    <n v="1"/>
    <n v="7"/>
    <x v="0"/>
    <x v="0"/>
  </r>
  <r>
    <n v="20785"/>
    <n v="125856303"/>
    <s v="Recovery"/>
    <n v="200"/>
    <s v="AHY"/>
    <s v="M"/>
    <n v="9"/>
    <n v="2020"/>
    <n v="2020"/>
    <n v="16"/>
    <x v="0"/>
    <s v="16B"/>
    <x v="15"/>
    <n v="1"/>
    <n v="7"/>
    <x v="0"/>
    <x v="0"/>
  </r>
  <r>
    <n v="20793"/>
    <n v="125856311"/>
    <s v="Recovery"/>
    <n v="200"/>
    <s v="AHY"/>
    <s v="F"/>
    <n v="11"/>
    <n v="2020"/>
    <n v="2020"/>
    <n v="16"/>
    <x v="0"/>
    <s v="16B"/>
    <x v="15"/>
    <n v="1"/>
    <n v="7"/>
    <x v="0"/>
    <x v="0"/>
  </r>
  <r>
    <n v="20813"/>
    <n v="125856331"/>
    <s v="Recovery"/>
    <n v="200"/>
    <s v="AHY"/>
    <s v="F"/>
    <n v="9"/>
    <n v="2020"/>
    <n v="2020"/>
    <n v="16"/>
    <x v="0"/>
    <s v="16B"/>
    <x v="15"/>
    <n v="1"/>
    <n v="7"/>
    <x v="0"/>
    <x v="0"/>
  </r>
  <r>
    <n v="20815"/>
    <n v="125856333"/>
    <s v="Recovery"/>
    <n v="200"/>
    <s v="AHY"/>
    <s v="M"/>
    <n v="1"/>
    <n v="2021"/>
    <n v="2020"/>
    <n v="16"/>
    <x v="0"/>
    <s v="16B"/>
    <x v="15"/>
    <n v="1"/>
    <n v="7"/>
    <x v="0"/>
    <x v="0"/>
  </r>
  <r>
    <n v="20842"/>
    <n v="125856360"/>
    <s v="Recovery"/>
    <n v="200"/>
    <s v="HY"/>
    <s v="F"/>
    <n v="11"/>
    <n v="2020"/>
    <n v="2020"/>
    <n v="16"/>
    <x v="0"/>
    <s v="16B"/>
    <x v="15"/>
    <n v="1"/>
    <n v="7"/>
    <x v="0"/>
    <x v="0"/>
  </r>
  <r>
    <n v="20844"/>
    <n v="125856362"/>
    <s v="Recovery"/>
    <n v="200"/>
    <s v="AHY"/>
    <s v="M"/>
    <n v="12"/>
    <n v="2020"/>
    <n v="2020"/>
    <n v="16"/>
    <x v="0"/>
    <s v="16B"/>
    <x v="15"/>
    <n v="1"/>
    <n v="7"/>
    <x v="0"/>
    <x v="0"/>
  </r>
  <r>
    <n v="20855"/>
    <n v="125856373"/>
    <s v="Recovery"/>
    <n v="200"/>
    <s v="AHY"/>
    <s v="F"/>
    <n v="12"/>
    <n v="2020"/>
    <n v="2020"/>
    <n v="16"/>
    <x v="0"/>
    <s v="16B"/>
    <x v="15"/>
    <n v="1"/>
    <n v="83"/>
    <x v="18"/>
    <x v="1"/>
  </r>
  <r>
    <n v="20860"/>
    <n v="125856378"/>
    <s v="Recovery"/>
    <n v="200"/>
    <s v="AHY"/>
    <s v="F"/>
    <n v="12"/>
    <n v="2020"/>
    <n v="2020"/>
    <n v="16"/>
    <x v="0"/>
    <s v="16B"/>
    <x v="15"/>
    <n v="1"/>
    <n v="7"/>
    <x v="0"/>
    <x v="0"/>
  </r>
  <r>
    <n v="20870"/>
    <n v="125856388"/>
    <s v="Recovery"/>
    <n v="200"/>
    <s v="AHY"/>
    <s v="F"/>
    <n v="9"/>
    <n v="2020"/>
    <n v="2020"/>
    <n v="16"/>
    <x v="0"/>
    <s v="16B"/>
    <x v="15"/>
    <n v="1"/>
    <n v="7"/>
    <x v="0"/>
    <x v="0"/>
  </r>
  <r>
    <n v="20876"/>
    <n v="125856394"/>
    <s v="Recovery"/>
    <n v="200"/>
    <s v="AHY"/>
    <s v="M"/>
    <n v="9"/>
    <n v="2020"/>
    <n v="2020"/>
    <n v="16"/>
    <x v="0"/>
    <s v="16B"/>
    <x v="15"/>
    <n v="1"/>
    <n v="7"/>
    <x v="0"/>
    <x v="0"/>
  </r>
  <r>
    <n v="20877"/>
    <n v="125856395"/>
    <s v="Recovery"/>
    <n v="200"/>
    <s v="AHY"/>
    <s v="M"/>
    <n v="11"/>
    <n v="2020"/>
    <n v="2020"/>
    <n v="16"/>
    <x v="0"/>
    <s v="16B"/>
    <x v="15"/>
    <n v="1"/>
    <n v="7"/>
    <x v="0"/>
    <x v="0"/>
  </r>
  <r>
    <n v="20892"/>
    <n v="125856410"/>
    <s v="Recovery"/>
    <n v="200"/>
    <s v="AHY"/>
    <s v="M"/>
    <n v="1"/>
    <n v="2021"/>
    <n v="2020"/>
    <n v="16"/>
    <x v="0"/>
    <s v="16B"/>
    <x v="15"/>
    <n v="1"/>
    <n v="7"/>
    <x v="0"/>
    <x v="0"/>
  </r>
  <r>
    <n v="20898"/>
    <n v="125856416"/>
    <s v="Recovery"/>
    <n v="200"/>
    <s v="AHY"/>
    <s v="M"/>
    <n v="1"/>
    <n v="2021"/>
    <n v="2020"/>
    <n v="16"/>
    <x v="0"/>
    <s v="16B"/>
    <x v="15"/>
    <n v="1"/>
    <n v="7"/>
    <x v="0"/>
    <x v="0"/>
  </r>
  <r>
    <n v="20934"/>
    <n v="125856452"/>
    <s v="Recovery"/>
    <n v="200"/>
    <s v="HY"/>
    <s v="F"/>
    <n v="1"/>
    <n v="2021"/>
    <n v="2020"/>
    <n v="16"/>
    <x v="0"/>
    <s v="16B"/>
    <x v="15"/>
    <n v="1"/>
    <n v="7"/>
    <x v="0"/>
    <x v="0"/>
  </r>
  <r>
    <n v="20951"/>
    <n v="125856469"/>
    <s v="Recovery"/>
    <n v="200"/>
    <s v="AHY"/>
    <s v="F"/>
    <n v="12"/>
    <n v="2020"/>
    <n v="2020"/>
    <n v="16"/>
    <x v="0"/>
    <s v="16B"/>
    <x v="15"/>
    <n v="1"/>
    <n v="7"/>
    <x v="0"/>
    <x v="0"/>
  </r>
  <r>
    <n v="20953"/>
    <n v="125856471"/>
    <s v="Recovery"/>
    <n v="200"/>
    <s v="HY"/>
    <s v="M"/>
    <n v="1"/>
    <n v="2021"/>
    <n v="2020"/>
    <n v="16"/>
    <x v="0"/>
    <s v="16B"/>
    <x v="15"/>
    <n v="1"/>
    <n v="7"/>
    <x v="0"/>
    <x v="0"/>
  </r>
  <r>
    <n v="20984"/>
    <n v="127851353"/>
    <s v="Recovery"/>
    <n v="200"/>
    <s v="HY"/>
    <s v="M"/>
    <n v="9"/>
    <n v="2020"/>
    <n v="2020"/>
    <n v="16"/>
    <x v="0"/>
    <s v="16B"/>
    <x v="15"/>
    <n v="1"/>
    <n v="7"/>
    <x v="0"/>
    <x v="0"/>
  </r>
  <r>
    <n v="21006"/>
    <n v="127851375"/>
    <s v="Recovery"/>
    <n v="200"/>
    <s v="AHY"/>
    <s v="M"/>
    <n v="1"/>
    <n v="2021"/>
    <n v="2020"/>
    <n v="16"/>
    <x v="0"/>
    <s v="16B"/>
    <x v="15"/>
    <n v="1"/>
    <n v="35"/>
    <x v="6"/>
    <x v="1"/>
  </r>
  <r>
    <n v="21045"/>
    <n v="127851414"/>
    <s v="Recovery"/>
    <n v="200"/>
    <s v="AHY"/>
    <s v="M"/>
    <n v="12"/>
    <n v="2020"/>
    <n v="2020"/>
    <n v="16"/>
    <x v="0"/>
    <s v="16B"/>
    <x v="15"/>
    <n v="1"/>
    <n v="7"/>
    <x v="0"/>
    <x v="0"/>
  </r>
  <r>
    <n v="21063"/>
    <n v="127851432"/>
    <s v="Recovery"/>
    <n v="200"/>
    <s v="AHY"/>
    <s v="M"/>
    <n v="1"/>
    <n v="2021"/>
    <n v="2020"/>
    <n v="16"/>
    <x v="0"/>
    <s v="16B"/>
    <x v="15"/>
    <n v="1"/>
    <n v="7"/>
    <x v="0"/>
    <x v="0"/>
  </r>
  <r>
    <n v="21073"/>
    <n v="127851442"/>
    <s v="Recovery"/>
    <n v="200"/>
    <s v="AHY"/>
    <s v="F"/>
    <n v="1"/>
    <n v="2021"/>
    <n v="2020"/>
    <n v="16"/>
    <x v="0"/>
    <s v="16B"/>
    <x v="15"/>
    <n v="1"/>
    <n v="35"/>
    <x v="6"/>
    <x v="1"/>
  </r>
  <r>
    <n v="21083"/>
    <n v="127851452"/>
    <s v="Recovery"/>
    <n v="200"/>
    <s v="AHY"/>
    <s v="F"/>
    <n v="12"/>
    <n v="2020"/>
    <n v="2020"/>
    <n v="16"/>
    <x v="0"/>
    <s v="16B"/>
    <x v="15"/>
    <n v="1"/>
    <n v="7"/>
    <x v="0"/>
    <x v="0"/>
  </r>
  <r>
    <n v="21088"/>
    <n v="127851457"/>
    <s v="Recovery"/>
    <n v="200"/>
    <s v="AHY"/>
    <s v="F"/>
    <n v="9"/>
    <n v="2020"/>
    <n v="2020"/>
    <n v="16"/>
    <x v="0"/>
    <s v="16B"/>
    <x v="15"/>
    <n v="1"/>
    <n v="7"/>
    <x v="0"/>
    <x v="0"/>
  </r>
  <r>
    <n v="21090"/>
    <n v="127851459"/>
    <s v="Recovery"/>
    <n v="200"/>
    <s v="AHY"/>
    <s v="M"/>
    <n v="9"/>
    <n v="2020"/>
    <n v="2020"/>
    <n v="16"/>
    <x v="0"/>
    <s v="16B"/>
    <x v="15"/>
    <n v="1"/>
    <n v="7"/>
    <x v="0"/>
    <x v="0"/>
  </r>
  <r>
    <n v="21107"/>
    <n v="127851476"/>
    <s v="Recovery"/>
    <n v="200"/>
    <s v="AHY"/>
    <s v="M"/>
    <n v="1"/>
    <n v="2021"/>
    <n v="2020"/>
    <n v="16"/>
    <x v="0"/>
    <s v="16B"/>
    <x v="15"/>
    <n v="1"/>
    <n v="7"/>
    <x v="0"/>
    <x v="0"/>
  </r>
  <r>
    <n v="21109"/>
    <n v="127851478"/>
    <s v="Recovery"/>
    <n v="200"/>
    <s v="HY"/>
    <s v="M"/>
    <n v="9"/>
    <n v="2020"/>
    <n v="2020"/>
    <n v="16"/>
    <x v="0"/>
    <s v="16B"/>
    <x v="15"/>
    <n v="1"/>
    <n v="7"/>
    <x v="0"/>
    <x v="0"/>
  </r>
  <r>
    <n v="21137"/>
    <n v="127851506"/>
    <s v="Recovery"/>
    <n v="200"/>
    <s v="AHY"/>
    <s v="F"/>
    <n v="1"/>
    <n v="2021"/>
    <n v="2020"/>
    <n v="16"/>
    <x v="0"/>
    <s v="16B"/>
    <x v="15"/>
    <n v="1"/>
    <n v="82"/>
    <x v="15"/>
    <x v="1"/>
  </r>
  <r>
    <n v="21148"/>
    <n v="127851517"/>
    <s v="Recovery"/>
    <n v="200"/>
    <s v="AHY"/>
    <s v="F"/>
    <n v="1"/>
    <n v="2021"/>
    <n v="2020"/>
    <n v="16"/>
    <x v="0"/>
    <s v="16B"/>
    <x v="15"/>
    <n v="1"/>
    <n v="82"/>
    <x v="15"/>
    <x v="1"/>
  </r>
  <r>
    <n v="21157"/>
    <n v="127851526"/>
    <s v="Recovery"/>
    <n v="200"/>
    <s v="AHY"/>
    <s v="M"/>
    <n v="1"/>
    <n v="2021"/>
    <n v="2020"/>
    <n v="16"/>
    <x v="0"/>
    <s v="16B"/>
    <x v="15"/>
    <n v="1"/>
    <n v="82"/>
    <x v="15"/>
    <x v="1"/>
  </r>
  <r>
    <n v="21169"/>
    <n v="127851538"/>
    <s v="Recovery"/>
    <n v="200"/>
    <s v="AHY"/>
    <s v="F"/>
    <n v="1"/>
    <n v="2021"/>
    <n v="2020"/>
    <n v="16"/>
    <x v="0"/>
    <s v="16B"/>
    <x v="15"/>
    <n v="1"/>
    <n v="82"/>
    <x v="15"/>
    <x v="1"/>
  </r>
  <r>
    <n v="21189"/>
    <n v="127851558"/>
    <s v="Recovery"/>
    <n v="200"/>
    <s v="AHY"/>
    <s v="M"/>
    <n v="2"/>
    <n v="2021"/>
    <n v="2020"/>
    <n v="16"/>
    <x v="0"/>
    <s v="16B"/>
    <x v="15"/>
    <n v="1"/>
    <n v="82"/>
    <x v="15"/>
    <x v="1"/>
  </r>
  <r>
    <n v="21193"/>
    <n v="127851562"/>
    <s v="Recovery"/>
    <n v="200"/>
    <s v="AHY"/>
    <s v="F"/>
    <n v="9"/>
    <n v="2020"/>
    <n v="2020"/>
    <n v="16"/>
    <x v="0"/>
    <s v="16B"/>
    <x v="15"/>
    <n v="1"/>
    <n v="82"/>
    <x v="15"/>
    <x v="1"/>
  </r>
  <r>
    <n v="21196"/>
    <n v="127851565"/>
    <s v="Recovery"/>
    <n v="200"/>
    <s v="AHY"/>
    <s v="M"/>
    <n v="12"/>
    <n v="2020"/>
    <n v="2020"/>
    <n v="16"/>
    <x v="0"/>
    <s v="16B"/>
    <x v="15"/>
    <n v="1"/>
    <n v="82"/>
    <x v="15"/>
    <x v="1"/>
  </r>
  <r>
    <n v="21198"/>
    <n v="127851567"/>
    <s v="Recovery"/>
    <n v="200"/>
    <s v="AHY"/>
    <s v="F"/>
    <n v="9"/>
    <n v="2020"/>
    <n v="2020"/>
    <n v="16"/>
    <x v="0"/>
    <s v="16B"/>
    <x v="15"/>
    <n v="1"/>
    <n v="82"/>
    <x v="15"/>
    <x v="1"/>
  </r>
  <r>
    <n v="21221"/>
    <n v="127851590"/>
    <s v="Recovery"/>
    <n v="200"/>
    <s v="AHY"/>
    <s v="F"/>
    <n v="2"/>
    <n v="2021"/>
    <n v="2020"/>
    <n v="16"/>
    <x v="0"/>
    <s v="16B"/>
    <x v="15"/>
    <n v="1"/>
    <n v="82"/>
    <x v="15"/>
    <x v="1"/>
  </r>
  <r>
    <n v="21225"/>
    <n v="127851594"/>
    <s v="Recovery"/>
    <n v="200"/>
    <s v="AHY"/>
    <s v="M"/>
    <n v="9"/>
    <n v="2020"/>
    <n v="2020"/>
    <n v="16"/>
    <x v="0"/>
    <s v="16B"/>
    <x v="15"/>
    <n v="1"/>
    <n v="82"/>
    <x v="15"/>
    <x v="1"/>
  </r>
  <r>
    <n v="21231"/>
    <n v="127851600"/>
    <s v="Recovery"/>
    <n v="200"/>
    <s v="AHY"/>
    <s v="F"/>
    <n v="1"/>
    <n v="2021"/>
    <n v="2020"/>
    <n v="16"/>
    <x v="0"/>
    <s v="16B"/>
    <x v="15"/>
    <n v="1"/>
    <n v="82"/>
    <x v="15"/>
    <x v="1"/>
  </r>
  <r>
    <n v="21238"/>
    <n v="127851607"/>
    <s v="Recovery"/>
    <n v="200"/>
    <s v="AHY"/>
    <s v="M"/>
    <n v="1"/>
    <n v="2021"/>
    <n v="2020"/>
    <n v="16"/>
    <x v="0"/>
    <s v="16B"/>
    <x v="15"/>
    <n v="1"/>
    <n v="82"/>
    <x v="15"/>
    <x v="1"/>
  </r>
  <r>
    <n v="21241"/>
    <n v="127851610"/>
    <s v="Recovery"/>
    <n v="200"/>
    <s v="AHY"/>
    <s v="F"/>
    <n v="1"/>
    <n v="2021"/>
    <n v="2020"/>
    <n v="16"/>
    <x v="0"/>
    <s v="16B"/>
    <x v="15"/>
    <n v="1"/>
    <n v="82"/>
    <x v="15"/>
    <x v="1"/>
  </r>
  <r>
    <n v="21253"/>
    <n v="127851622"/>
    <s v="Recovery"/>
    <n v="200"/>
    <s v="AHY"/>
    <s v="M"/>
    <n v="1"/>
    <n v="2021"/>
    <n v="2020"/>
    <n v="16"/>
    <x v="0"/>
    <s v="16B"/>
    <x v="15"/>
    <n v="1"/>
    <n v="82"/>
    <x v="15"/>
    <x v="1"/>
  </r>
  <r>
    <n v="21255"/>
    <n v="127851624"/>
    <s v="Recovery"/>
    <n v="200"/>
    <s v="AHY"/>
    <s v="M"/>
    <n v="9"/>
    <n v="2020"/>
    <n v="2020"/>
    <n v="16"/>
    <x v="0"/>
    <s v="16B"/>
    <x v="15"/>
    <n v="1"/>
    <n v="82"/>
    <x v="15"/>
    <x v="1"/>
  </r>
  <r>
    <n v="21266"/>
    <n v="127851635"/>
    <s v="Recovery"/>
    <n v="200"/>
    <s v="AHY"/>
    <s v="F"/>
    <n v="1"/>
    <n v="2021"/>
    <n v="2020"/>
    <n v="16"/>
    <x v="0"/>
    <s v="16B"/>
    <x v="15"/>
    <n v="1"/>
    <n v="7"/>
    <x v="0"/>
    <x v="0"/>
  </r>
  <r>
    <n v="21305"/>
    <n v="127851674"/>
    <s v="Recovery"/>
    <n v="200"/>
    <s v="AHY"/>
    <s v="M"/>
    <n v="2"/>
    <n v="2021"/>
    <n v="2020"/>
    <n v="16"/>
    <x v="0"/>
    <s v="16B"/>
    <x v="15"/>
    <n v="1"/>
    <n v="7"/>
    <x v="0"/>
    <x v="0"/>
  </r>
  <r>
    <n v="21313"/>
    <n v="127851682"/>
    <s v="Recovery"/>
    <n v="200"/>
    <s v="AHY"/>
    <s v="M"/>
    <n v="9"/>
    <n v="2020"/>
    <n v="2020"/>
    <n v="16"/>
    <x v="0"/>
    <s v="16B"/>
    <x v="15"/>
    <n v="1"/>
    <n v="7"/>
    <x v="0"/>
    <x v="0"/>
  </r>
  <r>
    <n v="21329"/>
    <n v="127851698"/>
    <s v="Recovery"/>
    <n v="200"/>
    <s v="HY"/>
    <s v="M"/>
    <n v="12"/>
    <n v="2020"/>
    <n v="2020"/>
    <n v="16"/>
    <x v="0"/>
    <s v="16B"/>
    <x v="15"/>
    <n v="1"/>
    <n v="7"/>
    <x v="0"/>
    <x v="0"/>
  </r>
  <r>
    <n v="21336"/>
    <n v="127851705"/>
    <s v="Recovery"/>
    <n v="200"/>
    <s v="AHY"/>
    <s v="M"/>
    <n v="9"/>
    <n v="2020"/>
    <n v="2020"/>
    <n v="16"/>
    <x v="0"/>
    <s v="16B"/>
    <x v="15"/>
    <n v="1"/>
    <n v="7"/>
    <x v="0"/>
    <x v="0"/>
  </r>
  <r>
    <n v="21337"/>
    <n v="127851706"/>
    <s v="Recovery"/>
    <n v="200"/>
    <s v="HY"/>
    <s v="F"/>
    <n v="12"/>
    <n v="2020"/>
    <n v="2020"/>
    <n v="16"/>
    <x v="0"/>
    <s v="16B"/>
    <x v="15"/>
    <n v="1"/>
    <n v="7"/>
    <x v="0"/>
    <x v="0"/>
  </r>
  <r>
    <n v="21344"/>
    <n v="127851713"/>
    <s v="Recovery"/>
    <n v="200"/>
    <s v="AHY"/>
    <s v="M"/>
    <n v="12"/>
    <n v="2020"/>
    <n v="2020"/>
    <n v="16"/>
    <x v="0"/>
    <s v="16B"/>
    <x v="15"/>
    <n v="1"/>
    <n v="7"/>
    <x v="0"/>
    <x v="0"/>
  </r>
  <r>
    <n v="21357"/>
    <n v="127851726"/>
    <s v="Recovery"/>
    <n v="200"/>
    <s v="HY"/>
    <s v="F"/>
    <n v="12"/>
    <n v="2020"/>
    <n v="2020"/>
    <n v="16"/>
    <x v="0"/>
    <s v="16B"/>
    <x v="15"/>
    <n v="1"/>
    <n v="7"/>
    <x v="0"/>
    <x v="0"/>
  </r>
  <r>
    <n v="21366"/>
    <n v="127851735"/>
    <s v="Recovery"/>
    <n v="200"/>
    <s v="AHY"/>
    <s v="F"/>
    <n v="9"/>
    <n v="2020"/>
    <n v="2020"/>
    <n v="16"/>
    <x v="0"/>
    <s v="16B"/>
    <x v="15"/>
    <n v="1"/>
    <n v="7"/>
    <x v="0"/>
    <x v="0"/>
  </r>
  <r>
    <n v="21371"/>
    <n v="127851740"/>
    <s v="Recovery"/>
    <n v="200"/>
    <s v="AHY"/>
    <s v="M"/>
    <n v="11"/>
    <n v="2020"/>
    <n v="2020"/>
    <n v="16"/>
    <x v="0"/>
    <s v="16B"/>
    <x v="15"/>
    <n v="1"/>
    <n v="7"/>
    <x v="0"/>
    <x v="0"/>
  </r>
  <r>
    <n v="21384"/>
    <n v="127851753"/>
    <s v="Recovery"/>
    <n v="200"/>
    <s v="AHY"/>
    <s v="M"/>
    <n v="10"/>
    <n v="2020"/>
    <n v="2020"/>
    <n v="16"/>
    <x v="0"/>
    <s v="16B"/>
    <x v="15"/>
    <n v="1"/>
    <n v="7"/>
    <x v="0"/>
    <x v="0"/>
  </r>
  <r>
    <n v="21409"/>
    <n v="127851778"/>
    <s v="Recovery"/>
    <n v="200"/>
    <s v="AHY"/>
    <s v="F"/>
    <n v="11"/>
    <n v="2020"/>
    <n v="2020"/>
    <n v="16"/>
    <x v="0"/>
    <s v="16B"/>
    <x v="15"/>
    <n v="1"/>
    <n v="7"/>
    <x v="0"/>
    <x v="0"/>
  </r>
  <r>
    <n v="21414"/>
    <n v="127851783"/>
    <s v="Recovery"/>
    <n v="200"/>
    <s v="AHY"/>
    <s v="M"/>
    <n v="12"/>
    <n v="2020"/>
    <n v="2020"/>
    <n v="16"/>
    <x v="0"/>
    <s v="16B"/>
    <x v="15"/>
    <n v="1"/>
    <n v="7"/>
    <x v="0"/>
    <x v="0"/>
  </r>
  <r>
    <n v="21434"/>
    <n v="127851803"/>
    <s v="Recovery"/>
    <n v="200"/>
    <s v="AHY"/>
    <s v="F"/>
    <n v="11"/>
    <n v="2020"/>
    <n v="2020"/>
    <n v="16"/>
    <x v="0"/>
    <s v="16B"/>
    <x v="15"/>
    <n v="1"/>
    <n v="7"/>
    <x v="0"/>
    <x v="0"/>
  </r>
  <r>
    <n v="21436"/>
    <n v="127851805"/>
    <s v="Recovery"/>
    <n v="200"/>
    <s v="AHY"/>
    <s v="M"/>
    <n v="12"/>
    <n v="2020"/>
    <n v="2020"/>
    <n v="16"/>
    <x v="0"/>
    <s v="16B"/>
    <x v="15"/>
    <n v="1"/>
    <n v="7"/>
    <x v="0"/>
    <x v="0"/>
  </r>
  <r>
    <n v="21442"/>
    <n v="127851811"/>
    <s v="Recovery"/>
    <n v="200"/>
    <s v="AHY"/>
    <s v="F"/>
    <n v="12"/>
    <n v="2020"/>
    <n v="2020"/>
    <n v="16"/>
    <x v="0"/>
    <s v="16B"/>
    <x v="15"/>
    <n v="1"/>
    <n v="7"/>
    <x v="0"/>
    <x v="0"/>
  </r>
  <r>
    <n v="21461"/>
    <n v="127851830"/>
    <s v="Recovery"/>
    <n v="200"/>
    <s v="AHY"/>
    <s v="F"/>
    <n v="11"/>
    <n v="2020"/>
    <n v="2020"/>
    <n v="16"/>
    <x v="0"/>
    <s v="16B"/>
    <x v="15"/>
    <n v="1"/>
    <n v="7"/>
    <x v="0"/>
    <x v="0"/>
  </r>
  <r>
    <n v="21465"/>
    <n v="127851834"/>
    <s v="Recovery"/>
    <n v="200"/>
    <s v="AHY"/>
    <s v="F"/>
    <n v="12"/>
    <n v="2020"/>
    <n v="2020"/>
    <n v="16"/>
    <x v="0"/>
    <s v="16B"/>
    <x v="15"/>
    <n v="1"/>
    <n v="7"/>
    <x v="0"/>
    <x v="0"/>
  </r>
  <r>
    <n v="21472"/>
    <n v="127851841"/>
    <s v="Recovery"/>
    <n v="200"/>
    <s v="AHY"/>
    <s v="M"/>
    <n v="11"/>
    <n v="2020"/>
    <n v="2020"/>
    <n v="16"/>
    <x v="0"/>
    <s v="16B"/>
    <x v="15"/>
    <n v="1"/>
    <n v="7"/>
    <x v="0"/>
    <x v="0"/>
  </r>
  <r>
    <n v="21478"/>
    <n v="127851847"/>
    <s v="Recovery"/>
    <n v="200"/>
    <s v="AHY"/>
    <s v="F"/>
    <n v="1"/>
    <n v="2021"/>
    <n v="2020"/>
    <n v="16"/>
    <x v="0"/>
    <s v="16B"/>
    <x v="15"/>
    <n v="1"/>
    <n v="7"/>
    <x v="0"/>
    <x v="0"/>
  </r>
  <r>
    <n v="21531"/>
    <n v="127851900"/>
    <s v="Recovery"/>
    <n v="200"/>
    <s v="AHY"/>
    <s v="F"/>
    <n v="1"/>
    <n v="2021"/>
    <n v="2020"/>
    <n v="16"/>
    <x v="0"/>
    <s v="16B"/>
    <x v="15"/>
    <n v="1"/>
    <n v="7"/>
    <x v="0"/>
    <x v="0"/>
  </r>
  <r>
    <n v="21532"/>
    <n v="127851901"/>
    <s v="Recovery"/>
    <n v="200"/>
    <s v="AHY"/>
    <s v="F"/>
    <n v="1"/>
    <n v="2021"/>
    <n v="2020"/>
    <n v="16"/>
    <x v="0"/>
    <s v="16B"/>
    <x v="15"/>
    <n v="1"/>
    <n v="7"/>
    <x v="0"/>
    <x v="0"/>
  </r>
  <r>
    <n v="21544"/>
    <n v="127851913"/>
    <s v="Recovery"/>
    <n v="200"/>
    <s v="AHY"/>
    <s v="F"/>
    <n v="1"/>
    <n v="2021"/>
    <n v="2020"/>
    <n v="16"/>
    <x v="0"/>
    <s v="16B"/>
    <x v="15"/>
    <n v="1"/>
    <n v="7"/>
    <x v="0"/>
    <x v="0"/>
  </r>
  <r>
    <n v="21558"/>
    <n v="127851927"/>
    <s v="Recovery"/>
    <n v="200"/>
    <s v="AHY"/>
    <s v="M"/>
    <n v="12"/>
    <n v="2020"/>
    <n v="2020"/>
    <n v="16"/>
    <x v="0"/>
    <s v="16B"/>
    <x v="15"/>
    <n v="1"/>
    <n v="7"/>
    <x v="0"/>
    <x v="0"/>
  </r>
  <r>
    <n v="21565"/>
    <n v="127851934"/>
    <s v="Recovery"/>
    <n v="200"/>
    <s v="AHY"/>
    <s v="F"/>
    <n v="11"/>
    <n v="2020"/>
    <n v="2020"/>
    <n v="16"/>
    <x v="0"/>
    <s v="16B"/>
    <x v="15"/>
    <n v="1"/>
    <n v="7"/>
    <x v="0"/>
    <x v="0"/>
  </r>
  <r>
    <n v="21567"/>
    <n v="127851936"/>
    <s v="Recovery"/>
    <n v="200"/>
    <s v="AHY"/>
    <s v="M"/>
    <n v="1"/>
    <n v="2021"/>
    <n v="2020"/>
    <n v="16"/>
    <x v="0"/>
    <s v="16B"/>
    <x v="15"/>
    <n v="1"/>
    <n v="7"/>
    <x v="0"/>
    <x v="0"/>
  </r>
  <r>
    <n v="21584"/>
    <n v="127851953"/>
    <s v="Recovery"/>
    <n v="200"/>
    <s v="AHY"/>
    <s v="M"/>
    <n v="1"/>
    <n v="2021"/>
    <n v="2020"/>
    <n v="16"/>
    <x v="0"/>
    <s v="16B"/>
    <x v="15"/>
    <n v="1"/>
    <n v="7"/>
    <x v="0"/>
    <x v="0"/>
  </r>
  <r>
    <n v="21593"/>
    <n v="127851962"/>
    <s v="Recovery"/>
    <n v="200"/>
    <s v="AHY"/>
    <s v="M"/>
    <n v="1"/>
    <n v="2021"/>
    <n v="2020"/>
    <n v="16"/>
    <x v="0"/>
    <s v="16B"/>
    <x v="15"/>
    <n v="1"/>
    <n v="7"/>
    <x v="0"/>
    <x v="0"/>
  </r>
  <r>
    <n v="21597"/>
    <n v="127851966"/>
    <s v="Recovery"/>
    <n v="200"/>
    <s v="AHY"/>
    <s v="M"/>
    <n v="9"/>
    <n v="2020"/>
    <n v="2020"/>
    <n v="16"/>
    <x v="0"/>
    <s v="16B"/>
    <x v="15"/>
    <n v="1"/>
    <n v="7"/>
    <x v="0"/>
    <x v="0"/>
  </r>
  <r>
    <n v="21603"/>
    <n v="127851972"/>
    <s v="Recovery"/>
    <n v="200"/>
    <s v="AHY"/>
    <s v="F"/>
    <n v="9"/>
    <n v="2020"/>
    <n v="2020"/>
    <n v="16"/>
    <x v="0"/>
    <s v="16B"/>
    <x v="15"/>
    <n v="1"/>
    <n v="7"/>
    <x v="0"/>
    <x v="0"/>
  </r>
  <r>
    <n v="2412"/>
    <n v="103874947"/>
    <s v="Recovery"/>
    <n v="200"/>
    <s v="AHY"/>
    <s v="M"/>
    <n v="11"/>
    <n v="2016"/>
    <n v="2016"/>
    <n v="12"/>
    <x v="0"/>
    <s v="12B"/>
    <x v="12"/>
    <n v="1"/>
    <n v="45"/>
    <x v="1"/>
    <x v="1"/>
  </r>
  <r>
    <n v="2449"/>
    <n v="103874984"/>
    <s v="Recovery"/>
    <n v="200"/>
    <s v="AHY"/>
    <s v="M"/>
    <n v="9"/>
    <n v="2007"/>
    <n v="2007"/>
    <n v="3"/>
    <x v="0"/>
    <s v="3B"/>
    <x v="1"/>
    <n v="1"/>
    <n v="7"/>
    <x v="0"/>
    <x v="0"/>
  </r>
  <r>
    <n v="4676"/>
    <n v="98848858"/>
    <s v="Recovery"/>
    <n v="200"/>
    <s v="AHY"/>
    <s v="M"/>
    <n v="12"/>
    <n v="2013"/>
    <n v="2013"/>
    <n v="9"/>
    <x v="0"/>
    <s v="9B"/>
    <x v="4"/>
    <n v="1"/>
    <n v="7"/>
    <x v="0"/>
    <x v="0"/>
  </r>
  <r>
    <n v="3698"/>
    <n v="103887233"/>
    <s v="Recovery"/>
    <n v="200"/>
    <s v="AHY"/>
    <s v="M"/>
    <n v="9"/>
    <n v="2015"/>
    <n v="2015"/>
    <n v="11"/>
    <x v="0"/>
    <s v="11B"/>
    <x v="14"/>
    <n v="1"/>
    <n v="7"/>
    <x v="0"/>
    <x v="0"/>
  </r>
  <r>
    <n v="9700"/>
    <n v="114824667"/>
    <s v="Recovery"/>
    <n v="200"/>
    <s v="AHY"/>
    <s v="F"/>
    <n v="11"/>
    <n v="2015"/>
    <n v="2015"/>
    <n v="11"/>
    <x v="0"/>
    <s v="11B"/>
    <x v="14"/>
    <n v="1"/>
    <n v="7"/>
    <x v="0"/>
    <x v="0"/>
  </r>
  <r>
    <n v="185"/>
    <n v="100888109"/>
    <s v="Recovery"/>
    <n v="200"/>
    <s v="AHY"/>
    <s v="F"/>
    <n v="1"/>
    <n v="2019"/>
    <n v="2018"/>
    <n v="14"/>
    <x v="0"/>
    <s v="14B"/>
    <x v="10"/>
    <n v="1"/>
    <n v="7"/>
    <x v="0"/>
    <x v="0"/>
  </r>
  <r>
    <n v="335"/>
    <n v="100888299"/>
    <s v="Recovery"/>
    <n v="200"/>
    <s v="AHY"/>
    <s v="M"/>
    <n v="9"/>
    <n v="2009"/>
    <n v="2009"/>
    <n v="5"/>
    <x v="0"/>
    <s v="5B"/>
    <x v="8"/>
    <n v="1"/>
    <n v="7"/>
    <x v="0"/>
    <x v="0"/>
  </r>
  <r>
    <n v="5386"/>
    <n v="100889398"/>
    <s v="Recovery"/>
    <n v="200"/>
    <s v="AHY"/>
    <s v="M"/>
    <n v="1"/>
    <n v="2015"/>
    <n v="2014"/>
    <n v="10"/>
    <x v="0"/>
    <s v="10B"/>
    <x v="7"/>
    <n v="1"/>
    <n v="7"/>
    <x v="0"/>
    <x v="0"/>
  </r>
  <r>
    <n v="10359"/>
    <n v="107821085"/>
    <s v="Recovery"/>
    <n v="200"/>
    <s v="AHY"/>
    <s v="F"/>
    <n v="1"/>
    <n v="2016"/>
    <n v="2015"/>
    <n v="11"/>
    <x v="0"/>
    <s v="11B"/>
    <x v="14"/>
    <n v="1"/>
    <n v="7"/>
    <x v="0"/>
    <x v="0"/>
  </r>
  <r>
    <n v="12084"/>
    <n v="116809523"/>
    <s v="Recovery"/>
    <n v="200"/>
    <s v="AHY"/>
    <s v="F"/>
    <n v="11"/>
    <n v="2020"/>
    <n v="2020"/>
    <n v="16"/>
    <x v="0"/>
    <s v="16B"/>
    <x v="15"/>
    <n v="1"/>
    <n v="7"/>
    <x v="0"/>
    <x v="0"/>
  </r>
  <r>
    <n v="13626"/>
    <n v="116863817"/>
    <s v="Recovery"/>
    <n v="200"/>
    <s v="AHY"/>
    <s v="M"/>
    <n v="11"/>
    <n v="2018"/>
    <n v="2018"/>
    <n v="14"/>
    <x v="0"/>
    <s v="14B"/>
    <x v="10"/>
    <n v="1"/>
    <n v="7"/>
    <x v="0"/>
    <x v="0"/>
  </r>
  <r>
    <n v="13651"/>
    <n v="116863842"/>
    <s v="Recovery"/>
    <n v="200"/>
    <s v="AHY"/>
    <s v="M"/>
    <n v="11"/>
    <n v="2017"/>
    <n v="2017"/>
    <n v="13"/>
    <x v="0"/>
    <s v="13B"/>
    <x v="13"/>
    <n v="1"/>
    <n v="7"/>
    <x v="0"/>
    <x v="0"/>
  </r>
  <r>
    <n v="1625"/>
    <n v="102875659"/>
    <s v="Recovery"/>
    <n v="200"/>
    <s v="AHY"/>
    <s v="F"/>
    <n v="1"/>
    <n v="2020"/>
    <n v="2019"/>
    <n v="15"/>
    <x v="0"/>
    <s v="15B"/>
    <x v="11"/>
    <n v="1"/>
    <n v="7"/>
    <x v="0"/>
    <x v="0"/>
  </r>
  <r>
    <n v="10214"/>
    <n v="114824921"/>
    <s v="Recovery"/>
    <n v="200"/>
    <s v="AHY"/>
    <s v="M"/>
    <n v="1"/>
    <n v="2021"/>
    <n v="2020"/>
    <n v="16"/>
    <x v="0"/>
    <s v="16B"/>
    <x v="15"/>
    <n v="1"/>
    <n v="7"/>
    <x v="0"/>
    <x v="0"/>
  </r>
  <r>
    <n v="10322"/>
    <n v="114825029"/>
    <s v="Recovery"/>
    <n v="200"/>
    <s v="AHY"/>
    <s v="M"/>
    <n v="1"/>
    <n v="2021"/>
    <n v="2020"/>
    <n v="16"/>
    <x v="0"/>
    <s v="16B"/>
    <x v="15"/>
    <n v="1"/>
    <n v="7"/>
    <x v="0"/>
    <x v="0"/>
  </r>
  <r>
    <n v="11511"/>
    <n v="114889676"/>
    <s v="Recovery"/>
    <n v="200"/>
    <s v="AHY"/>
    <s v="F"/>
    <n v="12"/>
    <n v="2020"/>
    <n v="2020"/>
    <n v="16"/>
    <x v="0"/>
    <s v="16B"/>
    <x v="15"/>
    <n v="1"/>
    <n v="7"/>
    <x v="0"/>
    <x v="0"/>
  </r>
  <r>
    <n v="12972"/>
    <n v="116863230"/>
    <s v="Recovery"/>
    <n v="200"/>
    <s v="AHY"/>
    <s v="F"/>
    <n v="1"/>
    <n v="2021"/>
    <n v="2020"/>
    <n v="16"/>
    <x v="0"/>
    <s v="16B"/>
    <x v="15"/>
    <n v="1"/>
    <n v="7"/>
    <x v="0"/>
    <x v="0"/>
  </r>
  <r>
    <n v="13603"/>
    <n v="116863794"/>
    <s v="Recovery"/>
    <n v="200"/>
    <s v="AHY"/>
    <s v="M"/>
    <n v="1"/>
    <n v="2021"/>
    <n v="2020"/>
    <n v="16"/>
    <x v="0"/>
    <s v="16B"/>
    <x v="15"/>
    <n v="1"/>
    <n v="7"/>
    <x v="0"/>
    <x v="0"/>
  </r>
  <r>
    <n v="13988"/>
    <n v="116864363"/>
    <s v="Recovery"/>
    <n v="200"/>
    <s v="AHY"/>
    <s v="M"/>
    <n v="12"/>
    <n v="2020"/>
    <n v="2020"/>
    <n v="16"/>
    <x v="0"/>
    <s v="16B"/>
    <x v="15"/>
    <n v="1"/>
    <n v="6"/>
    <x v="24"/>
    <x v="1"/>
  </r>
  <r>
    <n v="14541"/>
    <n v="116816330"/>
    <s v="Recovery"/>
    <n v="200"/>
    <s v="AHY"/>
    <s v="F"/>
    <n v="12"/>
    <n v="2020"/>
    <n v="2020"/>
    <n v="16"/>
    <x v="0"/>
    <s v="16B"/>
    <x v="15"/>
    <n v="1"/>
    <n v="7"/>
    <x v="0"/>
    <x v="0"/>
  </r>
  <r>
    <n v="15347"/>
    <n v="118882788"/>
    <s v="Recovery"/>
    <n v="200"/>
    <s v="AHY"/>
    <s v="M"/>
    <n v="1"/>
    <n v="2021"/>
    <n v="2020"/>
    <n v="16"/>
    <x v="0"/>
    <s v="16B"/>
    <x v="15"/>
    <n v="1"/>
    <n v="82"/>
    <x v="15"/>
    <x v="1"/>
  </r>
  <r>
    <n v="18121"/>
    <n v="120843456"/>
    <s v="Recovery"/>
    <n v="200"/>
    <s v="AHY"/>
    <s v="M"/>
    <n v="9"/>
    <n v="2020"/>
    <n v="2020"/>
    <n v="16"/>
    <x v="0"/>
    <s v="16B"/>
    <x v="15"/>
    <n v="1"/>
    <n v="7"/>
    <x v="0"/>
    <x v="0"/>
  </r>
  <r>
    <n v="19397"/>
    <n v="120844675"/>
    <s v="Recovery"/>
    <n v="200"/>
    <s v="AHY"/>
    <s v="F"/>
    <n v="9"/>
    <n v="2020"/>
    <n v="2020"/>
    <n v="16"/>
    <x v="0"/>
    <s v="16B"/>
    <x v="15"/>
    <n v="1"/>
    <n v="7"/>
    <x v="0"/>
    <x v="0"/>
  </r>
  <r>
    <n v="19492"/>
    <n v="120844770"/>
    <s v="Recovery"/>
    <n v="200"/>
    <s v="AHY"/>
    <s v="M"/>
    <n v="1"/>
    <n v="2021"/>
    <n v="2020"/>
    <n v="16"/>
    <x v="0"/>
    <s v="16B"/>
    <x v="15"/>
    <n v="1"/>
    <n v="7"/>
    <x v="0"/>
    <x v="0"/>
  </r>
  <r>
    <n v="20123"/>
    <n v="125846762"/>
    <s v="Recovery"/>
    <n v="200"/>
    <s v="AHY"/>
    <s v="F"/>
    <n v="9"/>
    <n v="2020"/>
    <n v="2020"/>
    <n v="16"/>
    <x v="0"/>
    <s v="16B"/>
    <x v="15"/>
    <n v="1"/>
    <n v="7"/>
    <x v="0"/>
    <x v="0"/>
  </r>
  <r>
    <n v="20659"/>
    <n v="127851228"/>
    <s v="Recovery"/>
    <n v="200"/>
    <s v="AHY"/>
    <s v="M"/>
    <n v="1"/>
    <n v="2021"/>
    <n v="2020"/>
    <n v="16"/>
    <x v="0"/>
    <s v="16B"/>
    <x v="15"/>
    <n v="1"/>
    <n v="7"/>
    <x v="0"/>
    <x v="0"/>
  </r>
  <r>
    <n v="21230"/>
    <n v="127851599"/>
    <s v="Recovery"/>
    <n v="200"/>
    <s v="AHY"/>
    <s v="F"/>
    <n v="1"/>
    <n v="2021"/>
    <n v="2020"/>
    <n v="16"/>
    <x v="0"/>
    <s v="16B"/>
    <x v="15"/>
    <n v="1"/>
    <n v="82"/>
    <x v="15"/>
    <x v="1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  <r>
    <m/>
    <m/>
    <m/>
    <m/>
    <m/>
    <m/>
    <m/>
    <m/>
    <m/>
    <m/>
    <x v="1"/>
    <m/>
    <x v="16"/>
    <m/>
    <m/>
    <x v="25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159530-596E-BE43-ABB6-5AD833AF806F}" name="PivotTable15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22" firstHeaderRow="1" firstDataRow="2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18">
        <item x="0"/>
        <item x="5"/>
        <item x="1"/>
        <item x="6"/>
        <item x="8"/>
        <item x="2"/>
        <item x="9"/>
        <item x="3"/>
        <item x="4"/>
        <item x="7"/>
        <item x="14"/>
        <item x="12"/>
        <item x="13"/>
        <item x="10"/>
        <item x="11"/>
        <item x="15"/>
        <item x="16"/>
        <item t="default"/>
      </items>
    </pivotField>
    <pivotField showAll="0"/>
    <pivotField showAll="0"/>
    <pivotField showAll="0"/>
    <pivotField axis="axisCol" dataField="1" showAll="0">
      <items count="4">
        <item x="0"/>
        <item x="1"/>
        <item x="2"/>
        <item t="default"/>
      </items>
    </pivotField>
  </pivotFields>
  <rowFields count="1">
    <field x="12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Count of ArkansasOther" fld="1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44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9.1640625" defaultRowHeight="13"/>
  <cols>
    <col min="1" max="1" width="30.5" style="2" bestFit="1" customWidth="1"/>
    <col min="2" max="2" width="8.83203125" style="2" bestFit="1" customWidth="1"/>
    <col min="3" max="3" width="10.5" style="2" bestFit="1" customWidth="1"/>
    <col min="4" max="4" width="16.6640625" style="23" bestFit="1" customWidth="1"/>
    <col min="5" max="6" width="7.6640625" style="23" bestFit="1" customWidth="1"/>
    <col min="7" max="7" width="12.1640625" style="8" bestFit="1" customWidth="1"/>
    <col min="8" max="8" width="7.6640625" style="23" bestFit="1" customWidth="1"/>
    <col min="9" max="9" width="7.6640625" style="8" bestFit="1" customWidth="1"/>
    <col min="10" max="11" width="10.6640625" style="15" bestFit="1" customWidth="1"/>
    <col min="12" max="12" width="7.6640625" style="23" bestFit="1" customWidth="1"/>
    <col min="13" max="13" width="14.1640625" style="20" bestFit="1" customWidth="1"/>
    <col min="14" max="14" width="14.83203125" style="2" bestFit="1" customWidth="1"/>
    <col min="15" max="15" width="22.1640625" style="2" bestFit="1" customWidth="1"/>
    <col min="16" max="17" width="17.1640625" style="2" bestFit="1" customWidth="1"/>
    <col min="18" max="18" width="26.33203125" style="35" bestFit="1" customWidth="1"/>
    <col min="19" max="19" width="29.5" style="18" bestFit="1" customWidth="1"/>
    <col min="20" max="20" width="7.6640625" style="18" bestFit="1" customWidth="1"/>
    <col min="21" max="21" width="7.5" style="2" bestFit="1" customWidth="1"/>
    <col min="22" max="23" width="12.6640625" style="2" bestFit="1" customWidth="1"/>
    <col min="24" max="25" width="6.6640625" style="2" bestFit="1" customWidth="1"/>
    <col min="26" max="26" width="11.33203125" style="2" bestFit="1" customWidth="1"/>
    <col min="27" max="46" width="9.1640625" style="2"/>
    <col min="47" max="47" width="9.1640625" style="51"/>
    <col min="48" max="16384" width="9.1640625" style="2"/>
  </cols>
  <sheetData>
    <row r="1" spans="1:47" ht="26.5" customHeight="1">
      <c r="A1" s="63" t="s">
        <v>72</v>
      </c>
      <c r="B1" s="3"/>
      <c r="C1" s="3"/>
      <c r="D1" s="21"/>
      <c r="E1" s="21"/>
      <c r="F1" s="21"/>
      <c r="G1" s="9"/>
      <c r="H1" s="19"/>
      <c r="I1" s="30"/>
      <c r="J1" s="19"/>
      <c r="K1" s="30"/>
      <c r="L1" s="19"/>
      <c r="M1" s="19"/>
      <c r="N1" s="30"/>
      <c r="O1" s="30"/>
      <c r="P1" s="30"/>
      <c r="Q1" s="30"/>
      <c r="R1" s="33"/>
      <c r="S1" s="16"/>
      <c r="T1" s="16"/>
      <c r="U1" s="67" t="s">
        <v>34</v>
      </c>
      <c r="V1" s="67"/>
      <c r="W1" s="67"/>
      <c r="X1" s="67"/>
      <c r="Y1" s="67"/>
      <c r="Z1" s="67"/>
    </row>
    <row r="2" spans="1:47" ht="42">
      <c r="A2" s="5" t="s">
        <v>0</v>
      </c>
      <c r="B2" s="5" t="s">
        <v>1</v>
      </c>
      <c r="C2" s="49" t="s">
        <v>30</v>
      </c>
      <c r="D2" s="45" t="s">
        <v>26</v>
      </c>
      <c r="E2" s="22" t="s">
        <v>23</v>
      </c>
      <c r="F2" s="22" t="s">
        <v>24</v>
      </c>
      <c r="G2" s="43" t="s">
        <v>25</v>
      </c>
      <c r="H2" s="22" t="s">
        <v>21</v>
      </c>
      <c r="I2" s="10" t="s">
        <v>22</v>
      </c>
      <c r="J2" s="44" t="s">
        <v>29</v>
      </c>
      <c r="K2" s="14" t="s">
        <v>31</v>
      </c>
      <c r="L2" s="22" t="s">
        <v>32</v>
      </c>
      <c r="M2" s="41" t="s">
        <v>33</v>
      </c>
      <c r="N2" s="49" t="s">
        <v>35</v>
      </c>
      <c r="O2" s="56" t="s">
        <v>40</v>
      </c>
      <c r="P2" s="42" t="s">
        <v>36</v>
      </c>
      <c r="Q2" s="42" t="s">
        <v>37</v>
      </c>
      <c r="R2" s="42" t="s">
        <v>38</v>
      </c>
      <c r="S2" s="42" t="s">
        <v>39</v>
      </c>
      <c r="T2" s="46" t="s">
        <v>2</v>
      </c>
      <c r="U2" s="46" t="s">
        <v>27</v>
      </c>
      <c r="V2" s="46" t="s">
        <v>28</v>
      </c>
      <c r="W2" s="46" t="s">
        <v>3</v>
      </c>
      <c r="X2" s="46" t="s">
        <v>4</v>
      </c>
      <c r="Y2" s="46" t="s">
        <v>5</v>
      </c>
      <c r="AT2" s="51"/>
      <c r="AU2" s="2"/>
    </row>
    <row r="3" spans="1:47">
      <c r="A3" s="6" t="s">
        <v>6</v>
      </c>
      <c r="B3" s="6">
        <v>793</v>
      </c>
      <c r="C3" s="6">
        <v>60</v>
      </c>
      <c r="D3" s="23">
        <f>C3/B3</f>
        <v>7.5662042875157626E-2</v>
      </c>
      <c r="E3" s="23">
        <f>(D3*(1-D3))/(B3-1)</f>
        <v>8.8304669372620497E-5</v>
      </c>
      <c r="F3" s="23">
        <f>SQRT(E3)</f>
        <v>9.3970564206362246E-3</v>
      </c>
      <c r="G3" s="9">
        <v>0.752</v>
      </c>
      <c r="H3" s="21">
        <f>I3^2</f>
        <v>5.7600000000000001E-4</v>
      </c>
      <c r="I3" s="9">
        <v>2.4E-2</v>
      </c>
      <c r="J3" s="13">
        <f t="shared" ref="J3:J17" si="0">(D3/G3)</f>
        <v>0.10061441871696493</v>
      </c>
      <c r="K3" s="13">
        <f>(E3/POWER(G3,2))+(POWER(D3,2)*H3)/POWER(G3,4)</f>
        <v>1.6646331034755204E-4</v>
      </c>
      <c r="L3" s="21">
        <f>SQRT(K3)</f>
        <v>1.2902066127080268E-2</v>
      </c>
      <c r="M3" s="19">
        <v>0.61</v>
      </c>
      <c r="N3" s="1">
        <v>15526.224</v>
      </c>
      <c r="O3" s="55">
        <v>0.8</v>
      </c>
      <c r="P3" s="17">
        <f t="shared" ref="P3:P18" si="1">N3*0.1</f>
        <v>1552.6224000000002</v>
      </c>
      <c r="Q3" s="34">
        <f t="shared" ref="Q3:Q18" si="2">P3/N3</f>
        <v>0.1</v>
      </c>
      <c r="R3" s="17">
        <f t="shared" ref="R3:R18" si="3">(M3*N3)*O3</f>
        <v>7576.7973119999997</v>
      </c>
      <c r="S3" s="17">
        <f>(R3*Q3)^2</f>
        <v>574078.57507130422</v>
      </c>
      <c r="T3" s="47">
        <f t="shared" ref="T3:T18" si="4" xml:space="preserve"> ( (B3+1)*(R3+1)*G3 / (C3+1) ) - 1</f>
        <v>74172.964613564851</v>
      </c>
      <c r="U3" s="47">
        <f t="shared" ref="U3:U18" si="5" xml:space="preserve"> (B3+1)*(B3-C3) /  ( ((C3+1)^2)*(C3+2))</f>
        <v>2.5227436259763678</v>
      </c>
      <c r="V3" s="47">
        <f t="shared" ref="V3:V18" si="6">(B3/C3)^2*S3+R3^2*U3</f>
        <v>245105511.56679913</v>
      </c>
      <c r="W3" s="47">
        <f t="shared" ref="W3:W18" si="7">(((B3*R3)/C3)^2)*H3+G3^2*V3</f>
        <v>144384287.01875141</v>
      </c>
      <c r="X3" s="47">
        <f>(SQRT(W3))</f>
        <v>12016.001290726937</v>
      </c>
      <c r="Y3" s="47">
        <f t="shared" ref="Y3:Y17" si="8">(1.96*X3)</f>
        <v>23551.362529824797</v>
      </c>
      <c r="AT3" s="51"/>
      <c r="AU3" s="2"/>
    </row>
    <row r="4" spans="1:47">
      <c r="A4" s="6" t="s">
        <v>7</v>
      </c>
      <c r="B4" s="6">
        <v>979</v>
      </c>
      <c r="C4" s="6">
        <v>95</v>
      </c>
      <c r="D4" s="23">
        <f t="shared" ref="D4:D17" si="9">C4/B4</f>
        <v>9.7037793667007155E-2</v>
      </c>
      <c r="E4" s="23">
        <f t="shared" ref="E4:E17" si="10">(D4*(1-D4))/(B4-1)</f>
        <v>8.9592495160783746E-5</v>
      </c>
      <c r="F4" s="23">
        <f t="shared" ref="F4:F17" si="11">SQRT(E4)</f>
        <v>9.4653312229833649E-3</v>
      </c>
      <c r="G4" s="9">
        <v>0.753</v>
      </c>
      <c r="H4" s="21">
        <f t="shared" ref="H4:H17" si="12">I4^2</f>
        <v>7.2899999999999994E-4</v>
      </c>
      <c r="I4" s="9">
        <v>2.7E-2</v>
      </c>
      <c r="J4" s="13">
        <f t="shared" si="0"/>
        <v>0.12886825188181561</v>
      </c>
      <c r="K4" s="13">
        <f t="shared" ref="K4:K17" si="13">(E4/POWER(G4,2))+(POWER(D4,2)*H4)/POWER(G4,4)</f>
        <v>1.7936049933049646E-4</v>
      </c>
      <c r="L4" s="21">
        <f t="shared" ref="L4:L17" si="14">SQRT(K4)</f>
        <v>1.3392553876333537E-2</v>
      </c>
      <c r="M4" s="19">
        <v>0.61</v>
      </c>
      <c r="N4" s="1">
        <v>29486.721000000001</v>
      </c>
      <c r="O4" s="55">
        <v>0.8</v>
      </c>
      <c r="P4" s="17">
        <f t="shared" si="1"/>
        <v>2948.6721000000002</v>
      </c>
      <c r="Q4" s="34">
        <f t="shared" si="2"/>
        <v>0.1</v>
      </c>
      <c r="R4" s="17">
        <f t="shared" si="3"/>
        <v>14389.519848</v>
      </c>
      <c r="S4" s="17">
        <f>(R4*Q4)^2</f>
        <v>2070582.8145598595</v>
      </c>
      <c r="T4" s="47">
        <f t="shared" si="4"/>
        <v>110617.12725659501</v>
      </c>
      <c r="U4" s="47">
        <f t="shared" si="5"/>
        <v>0.96909006300114553</v>
      </c>
      <c r="V4" s="47">
        <f t="shared" si="6"/>
        <v>420550805.94292593</v>
      </c>
      <c r="W4" s="47">
        <f t="shared" si="7"/>
        <v>254486268.51189429</v>
      </c>
      <c r="X4" s="47">
        <f t="shared" ref="X4:X17" si="15">(SQRT(W4))</f>
        <v>15952.625756028199</v>
      </c>
      <c r="Y4" s="47">
        <f t="shared" si="8"/>
        <v>31267.146481815271</v>
      </c>
      <c r="AT4" s="51"/>
      <c r="AU4" s="2"/>
    </row>
    <row r="5" spans="1:47">
      <c r="A5" s="6" t="s">
        <v>8</v>
      </c>
      <c r="B5" s="6">
        <v>981</v>
      </c>
      <c r="C5" s="6">
        <v>98</v>
      </c>
      <c r="D5" s="23">
        <f t="shared" si="9"/>
        <v>9.9898063200815498E-2</v>
      </c>
      <c r="E5" s="23">
        <f t="shared" si="10"/>
        <v>9.1753510377083031E-5</v>
      </c>
      <c r="F5" s="23">
        <f t="shared" si="11"/>
        <v>9.5788052687735027E-3</v>
      </c>
      <c r="G5" s="9">
        <v>0.77700000000000002</v>
      </c>
      <c r="H5" s="21">
        <f t="shared" si="12"/>
        <v>6.2500000000000012E-4</v>
      </c>
      <c r="I5" s="9">
        <v>2.5000000000000001E-2</v>
      </c>
      <c r="J5" s="13">
        <f t="shared" si="0"/>
        <v>0.12856893590838545</v>
      </c>
      <c r="K5" s="13">
        <f t="shared" si="13"/>
        <v>1.6909034091035398E-4</v>
      </c>
      <c r="L5" s="21">
        <f t="shared" si="14"/>
        <v>1.3003474186168632E-2</v>
      </c>
      <c r="M5" s="19">
        <v>0.61</v>
      </c>
      <c r="N5" s="1">
        <v>10741.593000000001</v>
      </c>
      <c r="O5" s="55">
        <v>0.8</v>
      </c>
      <c r="P5" s="17">
        <f t="shared" si="1"/>
        <v>1074.1593</v>
      </c>
      <c r="Q5" s="34">
        <f t="shared" si="2"/>
        <v>9.9999999999999992E-2</v>
      </c>
      <c r="R5" s="17">
        <f t="shared" si="3"/>
        <v>5241.8973840000008</v>
      </c>
      <c r="S5" s="17">
        <f t="shared" ref="S5:S18" si="16">(R5*Q5)^2</f>
        <v>274774.88184386044</v>
      </c>
      <c r="T5" s="47">
        <f t="shared" si="4"/>
        <v>40407.122268236126</v>
      </c>
      <c r="U5" s="47">
        <f t="shared" si="5"/>
        <v>0.88471176410570351</v>
      </c>
      <c r="V5" s="47">
        <f t="shared" si="6"/>
        <v>51843250.346149094</v>
      </c>
      <c r="W5" s="47">
        <f t="shared" si="7"/>
        <v>33020123.269564457</v>
      </c>
      <c r="X5" s="47">
        <f t="shared" si="15"/>
        <v>5746.3138854020544</v>
      </c>
      <c r="Y5" s="47">
        <f t="shared" si="8"/>
        <v>11262.775215388026</v>
      </c>
      <c r="AT5" s="51"/>
      <c r="AU5" s="2"/>
    </row>
    <row r="6" spans="1:47">
      <c r="A6" s="6" t="s">
        <v>9</v>
      </c>
      <c r="B6" s="6">
        <v>1008</v>
      </c>
      <c r="C6" s="6">
        <v>87</v>
      </c>
      <c r="D6" s="23">
        <f t="shared" si="9"/>
        <v>8.6309523809523808E-2</v>
      </c>
      <c r="E6" s="23">
        <f t="shared" si="10"/>
        <v>7.8312005868219517E-5</v>
      </c>
      <c r="F6" s="23">
        <f t="shared" si="11"/>
        <v>8.8494070913377881E-3</v>
      </c>
      <c r="G6" s="9">
        <v>0.76600000000000001</v>
      </c>
      <c r="H6" s="21">
        <f t="shared" si="12"/>
        <v>7.8400000000000008E-4</v>
      </c>
      <c r="I6" s="9">
        <v>2.8000000000000001E-2</v>
      </c>
      <c r="J6" s="13">
        <f t="shared" si="0"/>
        <v>0.11267561855029218</v>
      </c>
      <c r="K6" s="13">
        <f t="shared" si="13"/>
        <v>1.5042966609718725E-4</v>
      </c>
      <c r="L6" s="21">
        <f t="shared" si="14"/>
        <v>1.2264977215518473E-2</v>
      </c>
      <c r="M6" s="19">
        <v>0.61</v>
      </c>
      <c r="N6" s="1">
        <v>7357.8559999999998</v>
      </c>
      <c r="O6" s="55">
        <v>0.8</v>
      </c>
      <c r="P6" s="17">
        <f t="shared" si="1"/>
        <v>735.78560000000004</v>
      </c>
      <c r="Q6" s="34">
        <f t="shared" si="2"/>
        <v>0.1</v>
      </c>
      <c r="R6" s="17">
        <f t="shared" si="3"/>
        <v>3590.6337280000002</v>
      </c>
      <c r="S6" s="17">
        <f t="shared" si="16"/>
        <v>128926.50568651179</v>
      </c>
      <c r="T6" s="47">
        <f t="shared" si="4"/>
        <v>31543.910892827636</v>
      </c>
      <c r="U6" s="47">
        <f t="shared" si="5"/>
        <v>1.3483276650571083</v>
      </c>
      <c r="V6" s="47">
        <f t="shared" si="6"/>
        <v>34690636.089213371</v>
      </c>
      <c r="W6" s="47">
        <f t="shared" si="7"/>
        <v>21711816.971446879</v>
      </c>
      <c r="X6" s="47">
        <f t="shared" si="15"/>
        <v>4659.5940779693328</v>
      </c>
      <c r="Y6" s="47">
        <f t="shared" si="8"/>
        <v>9132.8043928198913</v>
      </c>
      <c r="AA6" s="62"/>
      <c r="AT6" s="51"/>
      <c r="AU6" s="2"/>
    </row>
    <row r="7" spans="1:47">
      <c r="A7" s="6" t="s">
        <v>10</v>
      </c>
      <c r="B7" s="6">
        <v>1041</v>
      </c>
      <c r="C7" s="6">
        <v>58</v>
      </c>
      <c r="D7" s="23">
        <f t="shared" si="9"/>
        <v>5.5715658021133527E-2</v>
      </c>
      <c r="E7" s="23">
        <f t="shared" si="10"/>
        <v>5.0587907185005409E-5</v>
      </c>
      <c r="F7" s="23">
        <f t="shared" si="11"/>
        <v>7.1125176404002967E-3</v>
      </c>
      <c r="G7" s="9">
        <v>0.76500000000000001</v>
      </c>
      <c r="H7" s="21">
        <f t="shared" si="12"/>
        <v>8.9999999999999998E-4</v>
      </c>
      <c r="I7" s="9">
        <v>0.03</v>
      </c>
      <c r="J7" s="13">
        <f t="shared" si="0"/>
        <v>7.2830925517821596E-2</v>
      </c>
      <c r="K7" s="13">
        <f t="shared" si="13"/>
        <v>9.4599199496962088E-5</v>
      </c>
      <c r="L7" s="21">
        <f t="shared" si="14"/>
        <v>9.7262119808773483E-3</v>
      </c>
      <c r="M7" s="19">
        <v>0.61</v>
      </c>
      <c r="N7" s="1">
        <v>20495.448</v>
      </c>
      <c r="O7" s="55">
        <v>0.8</v>
      </c>
      <c r="P7" s="17">
        <f t="shared" si="1"/>
        <v>2049.5448000000001</v>
      </c>
      <c r="Q7" s="34">
        <f t="shared" si="2"/>
        <v>0.1</v>
      </c>
      <c r="R7" s="17">
        <f t="shared" si="3"/>
        <v>10001.778624</v>
      </c>
      <c r="S7" s="17">
        <f t="shared" si="16"/>
        <v>1000355.7564350335</v>
      </c>
      <c r="T7" s="47">
        <f t="shared" si="4"/>
        <v>135143.32075506984</v>
      </c>
      <c r="U7" s="47">
        <f t="shared" si="5"/>
        <v>4.9041750454850135</v>
      </c>
      <c r="V7" s="47">
        <f t="shared" si="6"/>
        <v>812847183.74624479</v>
      </c>
      <c r="W7" s="47">
        <f t="shared" si="7"/>
        <v>504701462.00921434</v>
      </c>
      <c r="X7" s="47">
        <f t="shared" si="15"/>
        <v>22465.561689154678</v>
      </c>
      <c r="Y7" s="47">
        <f t="shared" si="8"/>
        <v>44032.500910743169</v>
      </c>
      <c r="AT7" s="51"/>
      <c r="AU7" s="2"/>
    </row>
    <row r="8" spans="1:47">
      <c r="A8" s="6" t="s">
        <v>11</v>
      </c>
      <c r="B8" s="6">
        <v>1173</v>
      </c>
      <c r="C8" s="6">
        <v>73</v>
      </c>
      <c r="D8" s="23">
        <f t="shared" si="9"/>
        <v>6.2233589087809037E-2</v>
      </c>
      <c r="E8" s="23">
        <f t="shared" si="10"/>
        <v>4.9795707744930689E-5</v>
      </c>
      <c r="F8" s="23">
        <f t="shared" si="11"/>
        <v>7.0566073820874211E-3</v>
      </c>
      <c r="G8" s="9">
        <v>0.77600000000000002</v>
      </c>
      <c r="H8" s="21">
        <f t="shared" si="12"/>
        <v>8.9999999999999998E-4</v>
      </c>
      <c r="I8" s="9">
        <v>0.03</v>
      </c>
      <c r="J8" s="13">
        <f t="shared" si="0"/>
        <v>8.0197924082228131E-2</v>
      </c>
      <c r="K8" s="13">
        <f t="shared" si="13"/>
        <v>9.2305644976418239E-5</v>
      </c>
      <c r="L8" s="21">
        <f t="shared" si="14"/>
        <v>9.6075826812168641E-3</v>
      </c>
      <c r="M8" s="19">
        <v>0.61</v>
      </c>
      <c r="N8" s="1">
        <v>43531.025999999998</v>
      </c>
      <c r="O8" s="55">
        <v>0.8</v>
      </c>
      <c r="P8" s="17">
        <f t="shared" si="1"/>
        <v>4353.1026000000002</v>
      </c>
      <c r="Q8" s="34">
        <f t="shared" si="2"/>
        <v>0.1</v>
      </c>
      <c r="R8" s="17">
        <f t="shared" si="3"/>
        <v>21243.140687999999</v>
      </c>
      <c r="S8" s="17">
        <f t="shared" si="16"/>
        <v>4512710.2629016107</v>
      </c>
      <c r="T8" s="47">
        <f t="shared" si="4"/>
        <v>261538.48683979071</v>
      </c>
      <c r="U8" s="47">
        <f t="shared" si="5"/>
        <v>3.1443876308741174</v>
      </c>
      <c r="V8" s="47">
        <f t="shared" si="6"/>
        <v>2584136902.8809767</v>
      </c>
      <c r="W8" s="47">
        <f t="shared" si="7"/>
        <v>1660970151.8970642</v>
      </c>
      <c r="X8" s="47">
        <f t="shared" si="15"/>
        <v>40755.001556828138</v>
      </c>
      <c r="Y8" s="47">
        <f t="shared" si="8"/>
        <v>79879.803051383147</v>
      </c>
      <c r="AT8" s="51"/>
      <c r="AU8" s="2"/>
    </row>
    <row r="9" spans="1:47">
      <c r="A9" s="6" t="s">
        <v>12</v>
      </c>
      <c r="B9" s="6">
        <v>1595</v>
      </c>
      <c r="C9" s="6">
        <v>102</v>
      </c>
      <c r="D9" s="23">
        <f t="shared" si="9"/>
        <v>6.3949843260188086E-2</v>
      </c>
      <c r="E9" s="23">
        <f t="shared" si="10"/>
        <v>3.7553488586691007E-5</v>
      </c>
      <c r="F9" s="23">
        <f t="shared" si="11"/>
        <v>6.1280901255359333E-3</v>
      </c>
      <c r="G9" s="9">
        <v>0.78835374899999999</v>
      </c>
      <c r="H9" s="21">
        <f t="shared" si="12"/>
        <v>7.8839323331228103E-4</v>
      </c>
      <c r="I9" s="9">
        <v>2.8078341E-2</v>
      </c>
      <c r="J9" s="13">
        <f t="shared" si="0"/>
        <v>8.1118207836654924E-2</v>
      </c>
      <c r="K9" s="13">
        <f t="shared" si="13"/>
        <v>6.8770929581700549E-5</v>
      </c>
      <c r="L9" s="21">
        <f t="shared" si="14"/>
        <v>8.292823981111655E-3</v>
      </c>
      <c r="M9" s="19">
        <v>0.61</v>
      </c>
      <c r="N9" s="1">
        <v>9561.6560000000009</v>
      </c>
      <c r="O9" s="55">
        <v>0.8</v>
      </c>
      <c r="P9" s="17">
        <f t="shared" si="1"/>
        <v>956.16560000000015</v>
      </c>
      <c r="Q9" s="34">
        <f t="shared" si="2"/>
        <v>0.1</v>
      </c>
      <c r="R9" s="17">
        <f t="shared" si="3"/>
        <v>4666.0881280000003</v>
      </c>
      <c r="S9" s="17">
        <f t="shared" si="16"/>
        <v>217723.7841826255</v>
      </c>
      <c r="T9" s="47">
        <f t="shared" si="4"/>
        <v>57010.543791310854</v>
      </c>
      <c r="U9" s="47">
        <f t="shared" si="5"/>
        <v>2.1596576201628515</v>
      </c>
      <c r="V9" s="47">
        <f t="shared" si="6"/>
        <v>100259517.14453781</v>
      </c>
      <c r="W9" s="47">
        <f t="shared" si="7"/>
        <v>66508751.57968542</v>
      </c>
      <c r="X9" s="47">
        <f t="shared" si="15"/>
        <v>8155.2897912756862</v>
      </c>
      <c r="Y9" s="47">
        <f t="shared" si="8"/>
        <v>15984.367990900344</v>
      </c>
      <c r="AB9" s="62"/>
      <c r="AT9" s="51"/>
      <c r="AU9" s="2"/>
    </row>
    <row r="10" spans="1:47">
      <c r="A10" s="2" t="s">
        <v>13</v>
      </c>
      <c r="B10" s="6">
        <v>1123</v>
      </c>
      <c r="C10" s="6">
        <v>90</v>
      </c>
      <c r="D10" s="23">
        <f t="shared" si="9"/>
        <v>8.0142475512021374E-2</v>
      </c>
      <c r="E10" s="23">
        <f t="shared" si="10"/>
        <v>6.5703796016779352E-5</v>
      </c>
      <c r="F10" s="23">
        <f t="shared" si="11"/>
        <v>8.1057878097554065E-3</v>
      </c>
      <c r="G10" s="9">
        <v>0.79569004700000001</v>
      </c>
      <c r="H10" s="21">
        <f t="shared" si="12"/>
        <v>8.0313485525395592E-4</v>
      </c>
      <c r="I10" s="9">
        <v>2.8339633999999999E-2</v>
      </c>
      <c r="J10" s="13">
        <f t="shared" si="0"/>
        <v>0.10072072135900598</v>
      </c>
      <c r="K10" s="13">
        <f t="shared" si="13"/>
        <v>1.1664616474168824E-4</v>
      </c>
      <c r="L10" s="21">
        <f t="shared" si="14"/>
        <v>1.0800285400936784E-2</v>
      </c>
      <c r="M10" s="19">
        <v>0.61</v>
      </c>
      <c r="N10" s="1">
        <v>5042.4071359999998</v>
      </c>
      <c r="O10" s="55">
        <v>0.8</v>
      </c>
      <c r="P10" s="17">
        <f t="shared" si="1"/>
        <v>504.24071359999999</v>
      </c>
      <c r="Q10" s="34">
        <f t="shared" si="2"/>
        <v>0.1</v>
      </c>
      <c r="R10" s="17">
        <f t="shared" si="3"/>
        <v>2460.694682368</v>
      </c>
      <c r="S10" s="17">
        <f t="shared" si="16"/>
        <v>60550.183198341532</v>
      </c>
      <c r="T10" s="47">
        <f t="shared" si="4"/>
        <v>24192.741277413861</v>
      </c>
      <c r="U10" s="47">
        <f t="shared" si="5"/>
        <v>1.5240387896861858</v>
      </c>
      <c r="V10" s="47">
        <f t="shared" si="6"/>
        <v>18655439.827087879</v>
      </c>
      <c r="W10" s="47">
        <f t="shared" si="7"/>
        <v>12568325.419740815</v>
      </c>
      <c r="X10" s="47">
        <f t="shared" si="15"/>
        <v>3545.183411297759</v>
      </c>
      <c r="Y10" s="47">
        <f t="shared" si="8"/>
        <v>6948.5594861436075</v>
      </c>
      <c r="AT10" s="51"/>
      <c r="AU10" s="2"/>
    </row>
    <row r="11" spans="1:47">
      <c r="A11" s="2" t="s">
        <v>14</v>
      </c>
      <c r="B11" s="6">
        <v>812</v>
      </c>
      <c r="C11" s="6">
        <v>51</v>
      </c>
      <c r="D11" s="23">
        <f t="shared" si="9"/>
        <v>6.2807881773399021E-2</v>
      </c>
      <c r="E11" s="23">
        <f t="shared" si="10"/>
        <v>7.2580828311390573E-5</v>
      </c>
      <c r="F11" s="23">
        <f t="shared" si="11"/>
        <v>8.5194382626667692E-3</v>
      </c>
      <c r="G11" s="9">
        <v>0.80309461599999998</v>
      </c>
      <c r="H11" s="21">
        <f t="shared" si="12"/>
        <v>8.1815208887616397E-4</v>
      </c>
      <c r="I11" s="9">
        <v>2.8603357999999999E-2</v>
      </c>
      <c r="J11" s="13">
        <f t="shared" si="0"/>
        <v>7.820732516702493E-2</v>
      </c>
      <c r="K11" s="13">
        <f t="shared" si="13"/>
        <v>1.2029404351199252E-4</v>
      </c>
      <c r="L11" s="21">
        <f t="shared" si="14"/>
        <v>1.0967864127166807E-2</v>
      </c>
      <c r="M11" s="19">
        <v>0.61</v>
      </c>
      <c r="N11" s="1">
        <v>8131.2298469999996</v>
      </c>
      <c r="O11" s="55">
        <v>0.8</v>
      </c>
      <c r="P11" s="17">
        <f t="shared" si="1"/>
        <v>813.12298469999996</v>
      </c>
      <c r="Q11" s="34">
        <f t="shared" si="2"/>
        <v>0.1</v>
      </c>
      <c r="R11" s="17">
        <f t="shared" si="3"/>
        <v>3968.0401653360004</v>
      </c>
      <c r="S11" s="17">
        <f t="shared" si="16"/>
        <v>157453.42753719757</v>
      </c>
      <c r="T11" s="47">
        <f t="shared" si="4"/>
        <v>49834.567734853292</v>
      </c>
      <c r="U11" s="47">
        <f t="shared" si="5"/>
        <v>4.3171053366082397</v>
      </c>
      <c r="V11" s="47">
        <f t="shared" si="6"/>
        <v>107888172.02007663</v>
      </c>
      <c r="W11" s="47">
        <f t="shared" si="7"/>
        <v>72849220.753937036</v>
      </c>
      <c r="X11" s="47">
        <f t="shared" si="15"/>
        <v>8535.1754963759849</v>
      </c>
      <c r="Y11" s="47">
        <f t="shared" si="8"/>
        <v>16728.94397289693</v>
      </c>
      <c r="AT11" s="51"/>
      <c r="AU11" s="2"/>
    </row>
    <row r="12" spans="1:47">
      <c r="A12" s="2" t="s">
        <v>15</v>
      </c>
      <c r="B12" s="6">
        <v>1164</v>
      </c>
      <c r="C12" s="2">
        <v>117</v>
      </c>
      <c r="D12" s="23">
        <f t="shared" si="9"/>
        <v>0.10051546391752578</v>
      </c>
      <c r="E12" s="23">
        <f t="shared" si="10"/>
        <v>7.7740417395503304E-5</v>
      </c>
      <c r="F12" s="23">
        <f t="shared" si="11"/>
        <v>8.8170526478808832E-3</v>
      </c>
      <c r="G12" s="9">
        <v>0.81056809100000005</v>
      </c>
      <c r="H12" s="21">
        <f t="shared" si="12"/>
        <v>8.334501088552961E-4</v>
      </c>
      <c r="I12" s="9">
        <v>2.8869536000000001E-2</v>
      </c>
      <c r="J12" s="13">
        <f t="shared" si="0"/>
        <v>0.12400619396887383</v>
      </c>
      <c r="K12" s="13">
        <f t="shared" si="13"/>
        <v>1.3782950247270609E-4</v>
      </c>
      <c r="L12" s="21">
        <f t="shared" si="14"/>
        <v>1.1740081024963418E-2</v>
      </c>
      <c r="M12" s="19">
        <v>0.61</v>
      </c>
      <c r="N12" s="1">
        <v>6468.0627549999999</v>
      </c>
      <c r="O12" s="55">
        <v>0.8</v>
      </c>
      <c r="P12" s="17">
        <f t="shared" si="1"/>
        <v>646.80627550000008</v>
      </c>
      <c r="Q12" s="34">
        <f t="shared" si="2"/>
        <v>0.10000000000000002</v>
      </c>
      <c r="R12" s="17">
        <f t="shared" si="3"/>
        <v>3156.4146244399999</v>
      </c>
      <c r="S12" s="17">
        <f t="shared" si="16"/>
        <v>99629.532813787111</v>
      </c>
      <c r="T12" s="47">
        <f t="shared" si="4"/>
        <v>25266.660758401707</v>
      </c>
      <c r="U12" s="47">
        <f t="shared" si="5"/>
        <v>0.73614205808723954</v>
      </c>
      <c r="V12" s="47">
        <f t="shared" si="6"/>
        <v>17195180.088946268</v>
      </c>
      <c r="W12" s="47">
        <f t="shared" si="7"/>
        <v>12119455.806557026</v>
      </c>
      <c r="X12" s="47">
        <f t="shared" si="15"/>
        <v>3481.3008784873832</v>
      </c>
      <c r="Y12" s="47">
        <f t="shared" si="8"/>
        <v>6823.3497218352713</v>
      </c>
      <c r="AT12" s="51"/>
      <c r="AU12" s="2"/>
    </row>
    <row r="13" spans="1:47">
      <c r="A13" s="2" t="s">
        <v>16</v>
      </c>
      <c r="B13" s="6">
        <v>1096</v>
      </c>
      <c r="C13" s="2">
        <v>77</v>
      </c>
      <c r="D13" s="23">
        <f t="shared" si="9"/>
        <v>7.0255474452554742E-2</v>
      </c>
      <c r="E13" s="23">
        <f t="shared" si="10"/>
        <v>5.9652641791781887E-5</v>
      </c>
      <c r="F13" s="23">
        <f t="shared" si="11"/>
        <v>7.7235122704493635E-3</v>
      </c>
      <c r="G13" s="9">
        <v>0.81811111199999997</v>
      </c>
      <c r="H13" s="21">
        <f t="shared" si="12"/>
        <v>8.4903423302886403E-4</v>
      </c>
      <c r="I13" s="9">
        <v>2.9138192E-2</v>
      </c>
      <c r="J13" s="13">
        <f t="shared" si="0"/>
        <v>8.5875223330977982E-2</v>
      </c>
      <c r="K13" s="13">
        <f t="shared" si="13"/>
        <v>9.8480980450732069E-5</v>
      </c>
      <c r="L13" s="21">
        <f t="shared" si="14"/>
        <v>9.923758383330988E-3</v>
      </c>
      <c r="M13" s="19">
        <v>0.61</v>
      </c>
      <c r="N13" s="1">
        <v>5083.8104460000004</v>
      </c>
      <c r="O13" s="55">
        <v>0.8</v>
      </c>
      <c r="P13" s="17">
        <f t="shared" si="1"/>
        <v>508.38104460000005</v>
      </c>
      <c r="Q13" s="34">
        <f t="shared" si="2"/>
        <v>0.1</v>
      </c>
      <c r="R13" s="17">
        <f t="shared" si="3"/>
        <v>2480.8994976480003</v>
      </c>
      <c r="S13" s="17">
        <f t="shared" si="16"/>
        <v>61548.623174301014</v>
      </c>
      <c r="T13" s="47">
        <f t="shared" si="4"/>
        <v>28555.732115495801</v>
      </c>
      <c r="U13" s="47">
        <f t="shared" si="5"/>
        <v>2.3257579540442248</v>
      </c>
      <c r="V13" s="47">
        <f t="shared" si="6"/>
        <v>26784477.274490539</v>
      </c>
      <c r="W13" s="47">
        <f t="shared" si="7"/>
        <v>18985730.845343105</v>
      </c>
      <c r="X13" s="47">
        <f t="shared" si="15"/>
        <v>4357.2618518219797</v>
      </c>
      <c r="Y13" s="47">
        <f t="shared" si="8"/>
        <v>8540.2332295710803</v>
      </c>
      <c r="AT13" s="51"/>
      <c r="AU13" s="2"/>
    </row>
    <row r="14" spans="1:47">
      <c r="A14" s="2" t="s">
        <v>17</v>
      </c>
      <c r="B14" s="6">
        <v>1246</v>
      </c>
      <c r="C14" s="2">
        <v>93</v>
      </c>
      <c r="D14" s="23">
        <f t="shared" si="9"/>
        <v>7.463884430176565E-2</v>
      </c>
      <c r="E14" s="23">
        <f t="shared" si="10"/>
        <v>5.5476214636997942E-5</v>
      </c>
      <c r="F14" s="23">
        <f t="shared" si="11"/>
        <v>7.4482356727615662E-3</v>
      </c>
      <c r="G14" s="9">
        <v>0.82572432799999995</v>
      </c>
      <c r="H14" s="21">
        <f t="shared" si="12"/>
        <v>8.6490969096640895E-4</v>
      </c>
      <c r="I14" s="9">
        <v>2.9409346999999999E-2</v>
      </c>
      <c r="J14" s="13">
        <f t="shared" si="0"/>
        <v>9.0391964691835566E-2</v>
      </c>
      <c r="K14" s="13">
        <f t="shared" si="13"/>
        <v>9.172960234079782E-5</v>
      </c>
      <c r="L14" s="21">
        <f t="shared" si="14"/>
        <v>9.5775572220059228E-3</v>
      </c>
      <c r="M14" s="19">
        <v>0.61</v>
      </c>
      <c r="N14" s="1">
        <v>3669.935234</v>
      </c>
      <c r="O14" s="55">
        <v>0.8</v>
      </c>
      <c r="P14" s="17">
        <f t="shared" si="1"/>
        <v>366.99352340000002</v>
      </c>
      <c r="Q14" s="34">
        <f t="shared" si="2"/>
        <v>0.1</v>
      </c>
      <c r="R14" s="17">
        <f t="shared" si="3"/>
        <v>1790.928394192</v>
      </c>
      <c r="S14" s="17">
        <f t="shared" si="16"/>
        <v>32074.245131231361</v>
      </c>
      <c r="T14" s="47">
        <f t="shared" si="4"/>
        <v>19627.826274367344</v>
      </c>
      <c r="U14" s="47">
        <f t="shared" si="5"/>
        <v>1.7128386266707964</v>
      </c>
      <c r="V14" s="47">
        <f t="shared" si="6"/>
        <v>11251203.622159842</v>
      </c>
      <c r="W14" s="47">
        <f t="shared" si="7"/>
        <v>8169266.5123083051</v>
      </c>
      <c r="X14" s="47">
        <f t="shared" si="15"/>
        <v>2858.1928752812159</v>
      </c>
      <c r="Y14" s="47">
        <f t="shared" si="8"/>
        <v>5602.0580355511829</v>
      </c>
      <c r="AT14" s="51"/>
      <c r="AU14" s="2"/>
    </row>
    <row r="15" spans="1:47">
      <c r="A15" s="2" t="s">
        <v>18</v>
      </c>
      <c r="B15" s="6">
        <v>1986</v>
      </c>
      <c r="C15" s="2">
        <v>115</v>
      </c>
      <c r="D15" s="23">
        <f t="shared" si="9"/>
        <v>5.7905337361530716E-2</v>
      </c>
      <c r="E15" s="23">
        <f t="shared" si="10"/>
        <v>2.7482271670820167E-5</v>
      </c>
      <c r="F15" s="23">
        <f t="shared" si="11"/>
        <v>5.2423536384738649E-3</v>
      </c>
      <c r="G15" s="9">
        <v>0.83340839099999997</v>
      </c>
      <c r="H15" s="21">
        <f t="shared" si="12"/>
        <v>8.8108203251667603E-4</v>
      </c>
      <c r="I15" s="9">
        <v>2.9683026000000001E-2</v>
      </c>
      <c r="J15" s="13">
        <f t="shared" si="0"/>
        <v>6.9480146812597565E-2</v>
      </c>
      <c r="K15" s="13">
        <f t="shared" si="13"/>
        <v>4.5691158289228879E-5</v>
      </c>
      <c r="L15" s="21">
        <f t="shared" si="14"/>
        <v>6.7595235253107063E-3</v>
      </c>
      <c r="M15" s="19">
        <v>0.61</v>
      </c>
      <c r="N15" s="1">
        <v>4888.7390400000004</v>
      </c>
      <c r="O15" s="55">
        <v>0.8</v>
      </c>
      <c r="P15" s="17">
        <f t="shared" si="1"/>
        <v>488.87390400000004</v>
      </c>
      <c r="Q15" s="34">
        <f t="shared" si="2"/>
        <v>0.1</v>
      </c>
      <c r="R15" s="17">
        <f t="shared" si="3"/>
        <v>2385.70465152</v>
      </c>
      <c r="S15" s="17">
        <f t="shared" si="16"/>
        <v>56915.866842841642</v>
      </c>
      <c r="T15" s="47">
        <f t="shared" si="4"/>
        <v>34070.905784022376</v>
      </c>
      <c r="U15" s="47">
        <f t="shared" si="5"/>
        <v>2.3614013892699979</v>
      </c>
      <c r="V15" s="47">
        <f t="shared" si="6"/>
        <v>30414588.328225948</v>
      </c>
      <c r="W15" s="47">
        <f t="shared" si="7"/>
        <v>22620636.656242825</v>
      </c>
      <c r="X15" s="47">
        <f t="shared" si="15"/>
        <v>4756.1157109812648</v>
      </c>
      <c r="Y15" s="47">
        <f t="shared" si="8"/>
        <v>9321.9867935232796</v>
      </c>
      <c r="AT15" s="51"/>
      <c r="AU15" s="2"/>
    </row>
    <row r="16" spans="1:47">
      <c r="A16" s="2">
        <v>2018</v>
      </c>
      <c r="B16" s="6">
        <v>1097</v>
      </c>
      <c r="C16" s="2">
        <v>70</v>
      </c>
      <c r="D16" s="23">
        <f t="shared" si="9"/>
        <v>6.3810391978122147E-2</v>
      </c>
      <c r="E16" s="23">
        <f t="shared" si="10"/>
        <v>5.4506045486971309E-5</v>
      </c>
      <c r="F16" s="23">
        <f t="shared" si="11"/>
        <v>7.3828209708058957E-3</v>
      </c>
      <c r="G16" s="9">
        <v>0.84116396100000002</v>
      </c>
      <c r="H16" s="21">
        <f t="shared" si="12"/>
        <v>8.975567803995039E-4</v>
      </c>
      <c r="I16" s="9">
        <v>2.9959251999999999E-2</v>
      </c>
      <c r="J16" s="13">
        <f t="shared" si="0"/>
        <v>7.5859636095515201E-2</v>
      </c>
      <c r="K16" s="13">
        <f t="shared" si="13"/>
        <v>8.4334149139557267E-5</v>
      </c>
      <c r="L16" s="21">
        <f t="shared" si="14"/>
        <v>9.1833626270314116E-3</v>
      </c>
      <c r="M16" s="19">
        <v>0.61</v>
      </c>
      <c r="N16" s="1">
        <v>16005.294349</v>
      </c>
      <c r="O16" s="55">
        <v>0.8</v>
      </c>
      <c r="P16" s="17">
        <f t="shared" si="1"/>
        <v>1600.5294349000001</v>
      </c>
      <c r="Q16" s="34">
        <f t="shared" si="2"/>
        <v>0.1</v>
      </c>
      <c r="R16" s="17">
        <f t="shared" si="3"/>
        <v>7810.5836423119999</v>
      </c>
      <c r="S16" s="17">
        <f t="shared" si="16"/>
        <v>610052.16833551787</v>
      </c>
      <c r="T16" s="47">
        <f t="shared" si="4"/>
        <v>101615.38389856994</v>
      </c>
      <c r="U16" s="47">
        <f t="shared" si="5"/>
        <v>3.1068736361832969</v>
      </c>
      <c r="V16" s="47">
        <f t="shared" si="6"/>
        <v>339360452.87929261</v>
      </c>
      <c r="W16" s="47">
        <f t="shared" si="7"/>
        <v>253564439.48332113</v>
      </c>
      <c r="X16" s="47">
        <f t="shared" si="15"/>
        <v>15923.706838651644</v>
      </c>
      <c r="Y16" s="47">
        <f t="shared" si="8"/>
        <v>31210.465403757222</v>
      </c>
      <c r="AT16" s="51"/>
      <c r="AU16" s="2"/>
    </row>
    <row r="17" spans="1:47">
      <c r="A17" s="2">
        <v>2019</v>
      </c>
      <c r="B17" s="6">
        <v>1275</v>
      </c>
      <c r="C17" s="2">
        <v>100</v>
      </c>
      <c r="D17" s="23">
        <f t="shared" si="9"/>
        <v>7.8431372549019607E-2</v>
      </c>
      <c r="E17" s="23">
        <f t="shared" si="10"/>
        <v>5.6734609379196622E-5</v>
      </c>
      <c r="F17" s="23">
        <f t="shared" si="11"/>
        <v>7.5322380060110035E-3</v>
      </c>
      <c r="G17" s="9">
        <v>0.84899170300000004</v>
      </c>
      <c r="H17" s="21">
        <f t="shared" si="12"/>
        <v>9.1433954685030399E-4</v>
      </c>
      <c r="I17" s="9">
        <v>3.0238048E-2</v>
      </c>
      <c r="J17" s="13">
        <f t="shared" si="0"/>
        <v>9.2381789211689866E-2</v>
      </c>
      <c r="K17" s="13">
        <f t="shared" si="13"/>
        <v>8.9538174407382439E-5</v>
      </c>
      <c r="L17" s="21">
        <f t="shared" si="14"/>
        <v>9.4624613292410582E-3</v>
      </c>
      <c r="M17" s="19">
        <v>0.61</v>
      </c>
      <c r="N17" s="1">
        <v>7572.4821259999999</v>
      </c>
      <c r="O17" s="55">
        <v>0.8</v>
      </c>
      <c r="P17" s="17">
        <f t="shared" si="1"/>
        <v>757.24821259999999</v>
      </c>
      <c r="Q17" s="34">
        <f t="shared" si="2"/>
        <v>0.1</v>
      </c>
      <c r="R17" s="17">
        <f t="shared" si="3"/>
        <v>3695.371277488</v>
      </c>
      <c r="S17" s="17">
        <f t="shared" si="16"/>
        <v>136557.68878483292</v>
      </c>
      <c r="T17" s="47">
        <f t="shared" si="4"/>
        <v>39645.817667665287</v>
      </c>
      <c r="U17" s="47">
        <f t="shared" si="5"/>
        <v>1.4409390851723496</v>
      </c>
      <c r="V17" s="47">
        <f t="shared" si="6"/>
        <v>41876290.398171157</v>
      </c>
      <c r="W17" s="47">
        <f t="shared" si="7"/>
        <v>32213638.956116978</v>
      </c>
      <c r="X17" s="47">
        <f t="shared" si="15"/>
        <v>5675.7060315098224</v>
      </c>
      <c r="Y17" s="47">
        <f t="shared" si="8"/>
        <v>11124.383821759251</v>
      </c>
      <c r="AT17" s="51"/>
      <c r="AU17" s="2"/>
    </row>
    <row r="18" spans="1:47">
      <c r="A18" s="2">
        <v>2020</v>
      </c>
      <c r="B18" s="6">
        <v>1044</v>
      </c>
      <c r="C18" s="2">
        <v>107</v>
      </c>
      <c r="D18" s="23">
        <f t="shared" ref="D18" si="17">C18/B18</f>
        <v>0.1024904214559387</v>
      </c>
      <c r="E18" s="23">
        <f t="shared" ref="E18" si="18">(D18*(1-D18))/(B18-1)</f>
        <v>8.8193801501172358E-5</v>
      </c>
      <c r="F18" s="23">
        <f t="shared" ref="F18" si="19">SQRT(E18)</f>
        <v>9.3911554933976231E-3</v>
      </c>
      <c r="G18" s="9">
        <v>0.85681944500000007</v>
      </c>
      <c r="H18" s="21">
        <f t="shared" ref="H18" si="20">I18^2</f>
        <v>9.312777783239128E-4</v>
      </c>
      <c r="I18" s="9">
        <v>3.0516844173733182E-2</v>
      </c>
      <c r="J18" s="13">
        <f t="shared" ref="J18" si="21">(D18/G18)</f>
        <v>0.11961729166398492</v>
      </c>
      <c r="K18" s="13">
        <f t="shared" ref="K18" si="22">(E18/POWER(G18,2))+(POWER(D18,2)*H18)/POWER(G18,4)</f>
        <v>1.3828269908352508E-4</v>
      </c>
      <c r="L18" s="21">
        <f t="shared" ref="L18" si="23">SQRT(K18)</f>
        <v>1.1759366440566646E-2</v>
      </c>
      <c r="M18" s="19">
        <v>0.61</v>
      </c>
      <c r="N18" s="1">
        <v>15336.563398</v>
      </c>
      <c r="O18" s="55">
        <v>0.8</v>
      </c>
      <c r="P18" s="17">
        <f t="shared" si="1"/>
        <v>1533.6563398000001</v>
      </c>
      <c r="Q18" s="34">
        <f t="shared" si="2"/>
        <v>0.1</v>
      </c>
      <c r="R18" s="17">
        <f t="shared" si="3"/>
        <v>7484.2429382239998</v>
      </c>
      <c r="S18" s="17">
        <f t="shared" si="16"/>
        <v>560138.92358355818</v>
      </c>
      <c r="T18" s="47">
        <f t="shared" si="4"/>
        <v>62055.567375186329</v>
      </c>
      <c r="U18" s="47">
        <f t="shared" si="5"/>
        <v>0.77016162016586753</v>
      </c>
      <c r="V18" s="47">
        <f t="shared" si="6"/>
        <v>96464545.078276977</v>
      </c>
      <c r="W18" s="47">
        <f t="shared" si="7"/>
        <v>75784458.468253478</v>
      </c>
      <c r="X18" s="47">
        <f t="shared" ref="X18" si="24">(SQRT(W18))</f>
        <v>8705.4269549662804</v>
      </c>
      <c r="Y18" s="47">
        <f t="shared" ref="Y18" si="25">(1.96*X18)</f>
        <v>17062.636831733907</v>
      </c>
      <c r="AT18" s="51"/>
      <c r="AU18" s="2"/>
    </row>
    <row r="19" spans="1:47">
      <c r="Q19" s="17"/>
    </row>
    <row r="20" spans="1:47" ht="15" customHeight="1">
      <c r="A20" s="12" t="s">
        <v>20</v>
      </c>
      <c r="B20" s="7"/>
      <c r="C20" s="7"/>
      <c r="D20" s="21"/>
      <c r="E20" s="21"/>
      <c r="F20" s="21"/>
      <c r="G20" s="53"/>
      <c r="H20" s="32"/>
      <c r="I20" s="53"/>
      <c r="J20" s="32"/>
      <c r="K20" s="52"/>
      <c r="L20" s="32"/>
      <c r="M20" s="32"/>
      <c r="N20" s="32"/>
      <c r="O20" s="32"/>
      <c r="P20" s="32"/>
      <c r="Q20" s="17"/>
      <c r="R20" s="36"/>
      <c r="S20" s="32"/>
      <c r="T20" s="25"/>
      <c r="U20" s="26"/>
      <c r="V20" s="26"/>
      <c r="W20" s="26"/>
      <c r="X20" s="26"/>
      <c r="Y20" s="26"/>
      <c r="Z20" s="26"/>
    </row>
    <row r="21" spans="1:47">
      <c r="A21" s="24" t="s">
        <v>19</v>
      </c>
      <c r="B21" s="7"/>
      <c r="C21" s="7"/>
      <c r="D21" s="21"/>
      <c r="E21" s="21"/>
      <c r="F21" s="21"/>
      <c r="G21" s="53"/>
      <c r="H21" s="25"/>
      <c r="I21" s="53"/>
      <c r="J21" s="25"/>
      <c r="K21" s="25"/>
      <c r="L21" s="25"/>
      <c r="M21" s="25"/>
      <c r="N21" s="25"/>
      <c r="O21" s="25"/>
      <c r="P21" s="25"/>
      <c r="Q21" s="25"/>
      <c r="R21" s="37"/>
      <c r="S21" s="25"/>
      <c r="T21" s="25"/>
      <c r="U21" s="26"/>
      <c r="V21" s="26"/>
      <c r="W21" s="26"/>
      <c r="X21" s="26"/>
      <c r="Y21" s="26"/>
      <c r="Z21" s="26"/>
    </row>
    <row r="22" spans="1:47">
      <c r="A22" s="12"/>
      <c r="B22" s="7"/>
      <c r="C22" s="7"/>
      <c r="D22" s="21"/>
      <c r="E22" s="21"/>
      <c r="F22" s="21"/>
      <c r="G22" s="53"/>
      <c r="H22" s="25"/>
      <c r="I22" s="53"/>
      <c r="J22" s="25"/>
      <c r="K22" s="25"/>
      <c r="L22" s="25"/>
      <c r="M22" s="25"/>
      <c r="N22" s="27"/>
      <c r="O22" s="27"/>
      <c r="P22" s="27"/>
      <c r="Q22" s="27"/>
      <c r="R22" s="38"/>
      <c r="S22" s="25"/>
      <c r="T22" s="25"/>
      <c r="U22" s="48"/>
      <c r="V22" s="26"/>
      <c r="W22" s="26"/>
      <c r="X22" s="26"/>
      <c r="Y22" s="26"/>
      <c r="Z22" s="26"/>
    </row>
    <row r="23" spans="1:47">
      <c r="A23" s="58"/>
      <c r="B23" s="4"/>
      <c r="C23" s="4"/>
      <c r="D23" s="21"/>
      <c r="E23" s="21"/>
      <c r="F23" s="21"/>
      <c r="G23" s="53"/>
      <c r="H23" s="25"/>
      <c r="I23" s="53"/>
      <c r="J23" s="25"/>
      <c r="K23" s="25"/>
      <c r="L23" s="25"/>
      <c r="M23" s="26"/>
      <c r="N23" s="25"/>
      <c r="O23" s="25"/>
      <c r="P23" s="25"/>
      <c r="Q23" s="25"/>
      <c r="R23" s="37"/>
      <c r="S23" s="26"/>
      <c r="T23" s="26"/>
      <c r="U23" s="26"/>
      <c r="V23" s="26"/>
      <c r="W23" s="26"/>
      <c r="X23" s="26"/>
      <c r="Y23" s="26"/>
      <c r="Z23" s="26"/>
    </row>
    <row r="24" spans="1:47">
      <c r="A24" s="48"/>
      <c r="B24" s="4"/>
      <c r="C24" s="4"/>
      <c r="D24" s="21"/>
      <c r="E24" s="21"/>
      <c r="F24" s="21"/>
      <c r="G24" s="25"/>
      <c r="H24" s="25"/>
      <c r="I24" s="25"/>
      <c r="J24" s="25"/>
      <c r="K24" s="25"/>
      <c r="L24" s="25"/>
      <c r="M24" s="26"/>
      <c r="N24" s="26"/>
      <c r="O24" s="26"/>
      <c r="P24" s="26"/>
      <c r="Q24" s="26"/>
      <c r="R24" s="39"/>
      <c r="S24" s="26"/>
      <c r="T24" s="26"/>
      <c r="U24" s="26"/>
      <c r="V24" s="26"/>
      <c r="W24" s="26"/>
      <c r="X24" s="26"/>
      <c r="Y24" s="26"/>
      <c r="Z24" s="26"/>
    </row>
    <row r="25" spans="1:47">
      <c r="A25" s="48"/>
      <c r="B25" s="4"/>
      <c r="C25" s="4"/>
      <c r="D25" s="21"/>
      <c r="E25" s="21"/>
      <c r="F25" s="21"/>
      <c r="G25" s="25"/>
      <c r="H25" s="25"/>
      <c r="I25" s="25"/>
      <c r="J25" s="25"/>
      <c r="K25" s="25"/>
      <c r="L25" s="25"/>
      <c r="M25" s="26"/>
      <c r="N25" s="26"/>
      <c r="O25" s="26"/>
      <c r="P25" s="26"/>
      <c r="Q25" s="26"/>
      <c r="R25" s="39"/>
      <c r="S25" s="26"/>
      <c r="T25" s="26"/>
      <c r="U25" s="26"/>
      <c r="V25" s="26"/>
      <c r="W25" s="26"/>
      <c r="X25" s="26"/>
      <c r="Y25" s="26"/>
      <c r="Z25" s="26"/>
    </row>
    <row r="26" spans="1:47">
      <c r="A26" s="48"/>
      <c r="B26" s="4"/>
      <c r="C26" s="4"/>
      <c r="D26" s="21"/>
      <c r="E26" s="21"/>
      <c r="F26" s="21"/>
      <c r="G26" s="25"/>
      <c r="H26" s="25"/>
      <c r="I26" s="25"/>
      <c r="J26" s="25"/>
      <c r="K26" s="25"/>
      <c r="L26" s="25"/>
      <c r="M26" s="26"/>
      <c r="N26" s="26"/>
      <c r="O26" s="26"/>
      <c r="P26" s="26"/>
      <c r="Q26" s="26"/>
      <c r="R26" s="39"/>
      <c r="S26" s="26"/>
      <c r="T26" s="26"/>
      <c r="U26" s="26"/>
      <c r="V26" s="26"/>
      <c r="W26" s="26"/>
      <c r="X26" s="26"/>
      <c r="Y26" s="26"/>
      <c r="Z26" s="26"/>
    </row>
    <row r="27" spans="1:47">
      <c r="A27" s="48"/>
      <c r="B27" s="4"/>
      <c r="C27" s="4"/>
      <c r="D27" s="21"/>
      <c r="E27" s="21"/>
      <c r="F27" s="21"/>
      <c r="G27" s="25"/>
      <c r="H27" s="25"/>
      <c r="I27" s="25"/>
      <c r="J27" s="25"/>
      <c r="K27" s="25"/>
      <c r="L27" s="25"/>
      <c r="M27" s="26"/>
      <c r="N27" s="26"/>
      <c r="O27" s="26"/>
      <c r="P27" s="26"/>
      <c r="Q27" s="26"/>
      <c r="R27" s="39"/>
      <c r="S27" s="26"/>
      <c r="T27" s="26"/>
      <c r="U27" s="26"/>
      <c r="V27" s="26"/>
      <c r="W27" s="26"/>
      <c r="X27" s="26"/>
      <c r="Y27" s="26"/>
      <c r="Z27" s="26"/>
    </row>
    <row r="28" spans="1:47">
      <c r="A28" s="12"/>
      <c r="B28" s="4"/>
      <c r="C28" s="4"/>
      <c r="D28" s="21"/>
      <c r="E28" s="21"/>
      <c r="F28" s="21"/>
      <c r="G28" s="25"/>
      <c r="H28" s="25"/>
      <c r="I28" s="25"/>
      <c r="J28" s="25"/>
      <c r="K28" s="25"/>
      <c r="L28" s="25"/>
      <c r="M28" s="26"/>
      <c r="N28" s="26"/>
      <c r="O28" s="26"/>
      <c r="P28" s="26"/>
      <c r="Q28" s="26"/>
      <c r="R28" s="39"/>
      <c r="S28" s="26"/>
      <c r="T28" s="26"/>
      <c r="U28" s="26"/>
      <c r="V28" s="26"/>
      <c r="W28" s="26"/>
      <c r="X28" s="26"/>
      <c r="Y28" s="26"/>
      <c r="Z28" s="26"/>
    </row>
    <row r="29" spans="1:47" ht="16">
      <c r="A29" s="31"/>
      <c r="B29" s="4"/>
      <c r="C29" s="4"/>
      <c r="D29" s="21"/>
      <c r="E29" s="21"/>
      <c r="F29" s="21"/>
      <c r="G29" s="25"/>
      <c r="H29" s="25"/>
      <c r="I29" s="25"/>
      <c r="J29" s="25"/>
      <c r="K29" s="25"/>
      <c r="L29" s="25"/>
      <c r="M29" s="26"/>
      <c r="N29" s="26"/>
      <c r="O29" s="26"/>
      <c r="P29" s="26"/>
      <c r="Q29" s="26"/>
      <c r="R29" s="39"/>
      <c r="S29" s="26"/>
      <c r="T29" s="26"/>
      <c r="U29" s="26"/>
      <c r="V29" s="26"/>
      <c r="W29" s="26"/>
      <c r="X29" s="26"/>
      <c r="Y29" s="26"/>
      <c r="Z29" s="26"/>
    </row>
    <row r="30" spans="1:47">
      <c r="A30" s="12"/>
      <c r="B30" s="4"/>
      <c r="C30" s="4"/>
      <c r="D30" s="21"/>
      <c r="E30" s="21"/>
      <c r="F30" s="21"/>
      <c r="G30" s="25"/>
      <c r="H30" s="25"/>
      <c r="I30" s="25"/>
      <c r="J30" s="25"/>
      <c r="K30" s="25"/>
      <c r="L30" s="25"/>
      <c r="M30" s="26"/>
      <c r="N30" s="26"/>
      <c r="O30" s="26"/>
      <c r="P30" s="26"/>
      <c r="Q30" s="26"/>
      <c r="R30" s="39"/>
      <c r="S30" s="26"/>
      <c r="T30" s="26"/>
      <c r="U30" s="26"/>
      <c r="V30" s="26"/>
      <c r="W30" s="26"/>
      <c r="X30" s="26"/>
      <c r="Y30" s="26"/>
      <c r="Z30" s="26"/>
    </row>
    <row r="31" spans="1:47">
      <c r="A31" s="11"/>
      <c r="G31" s="26"/>
      <c r="H31" s="26"/>
      <c r="I31" s="26"/>
      <c r="J31" s="25"/>
      <c r="K31" s="25"/>
      <c r="L31" s="26"/>
      <c r="M31" s="26"/>
      <c r="N31" s="26"/>
      <c r="O31" s="26"/>
      <c r="P31" s="26"/>
      <c r="Q31" s="26"/>
      <c r="R31" s="39"/>
      <c r="S31" s="26"/>
      <c r="T31" s="26"/>
      <c r="U31" s="26"/>
      <c r="V31" s="26"/>
      <c r="W31" s="26"/>
      <c r="X31" s="26"/>
      <c r="Y31" s="26"/>
      <c r="Z31" s="26"/>
    </row>
    <row r="32" spans="1:47">
      <c r="A32" s="11"/>
      <c r="G32" s="26"/>
      <c r="H32" s="26"/>
      <c r="I32" s="26"/>
      <c r="J32" s="25"/>
      <c r="K32" s="25"/>
      <c r="L32" s="26"/>
      <c r="M32" s="26"/>
      <c r="N32" s="26"/>
      <c r="O32" s="26"/>
      <c r="P32" s="26"/>
      <c r="Q32" s="26"/>
      <c r="R32" s="39"/>
      <c r="S32" s="26"/>
      <c r="T32" s="26"/>
      <c r="U32" s="26"/>
      <c r="V32" s="26"/>
      <c r="W32" s="26"/>
      <c r="X32" s="26"/>
      <c r="Y32" s="26"/>
      <c r="Z32" s="26"/>
    </row>
    <row r="33" spans="1:26">
      <c r="A33" s="11"/>
      <c r="G33" s="26"/>
      <c r="H33" s="26"/>
      <c r="I33" s="26"/>
      <c r="J33" s="25"/>
      <c r="K33" s="25"/>
      <c r="L33" s="26"/>
      <c r="M33" s="26"/>
      <c r="N33" s="26"/>
      <c r="O33" s="26"/>
      <c r="P33" s="26"/>
      <c r="Q33" s="26"/>
      <c r="R33" s="39"/>
      <c r="S33" s="26"/>
      <c r="T33" s="26"/>
      <c r="U33" s="26"/>
      <c r="V33" s="26"/>
      <c r="W33" s="26"/>
      <c r="X33" s="26"/>
      <c r="Y33" s="26"/>
      <c r="Z33" s="26"/>
    </row>
    <row r="34" spans="1:26">
      <c r="A34" s="11"/>
      <c r="G34" s="26"/>
      <c r="H34" s="26"/>
      <c r="I34" s="26"/>
      <c r="J34" s="25"/>
      <c r="K34" s="25"/>
      <c r="L34" s="26"/>
      <c r="M34" s="26"/>
      <c r="N34" s="26"/>
      <c r="O34" s="26"/>
      <c r="P34" s="26"/>
      <c r="Q34" s="26"/>
      <c r="R34" s="39"/>
      <c r="S34" s="26"/>
      <c r="T34" s="26"/>
      <c r="U34" s="26"/>
      <c r="V34" s="26"/>
      <c r="W34" s="26"/>
      <c r="X34" s="26"/>
      <c r="Y34" s="26"/>
      <c r="Z34" s="26"/>
    </row>
    <row r="35" spans="1:26">
      <c r="G35" s="26"/>
      <c r="H35" s="26"/>
      <c r="I35" s="26"/>
      <c r="J35" s="25"/>
      <c r="K35" s="25"/>
      <c r="L35" s="57"/>
      <c r="M35" s="26"/>
      <c r="N35" s="58"/>
      <c r="O35" s="26"/>
      <c r="P35" s="26"/>
      <c r="Q35" s="26"/>
      <c r="R35" s="39"/>
      <c r="S35" s="26"/>
      <c r="T35" s="26"/>
      <c r="U35" s="26"/>
      <c r="V35" s="26"/>
      <c r="W35" s="26"/>
      <c r="X35" s="26"/>
      <c r="Y35" s="26"/>
      <c r="Z35" s="26"/>
    </row>
    <row r="36" spans="1:26">
      <c r="G36" s="26"/>
      <c r="H36" s="26"/>
      <c r="I36" s="26"/>
      <c r="J36" s="25"/>
      <c r="K36" s="25"/>
      <c r="L36" s="26"/>
      <c r="M36" s="26"/>
      <c r="N36" s="48"/>
      <c r="O36" s="26"/>
      <c r="P36" s="26"/>
      <c r="Q36" s="26"/>
      <c r="R36" s="39"/>
      <c r="S36" s="26"/>
      <c r="T36" s="26"/>
      <c r="U36" s="26"/>
      <c r="V36" s="26"/>
      <c r="W36" s="26"/>
      <c r="X36" s="26"/>
      <c r="Y36" s="26"/>
      <c r="Z36" s="26"/>
    </row>
    <row r="37" spans="1:26">
      <c r="G37" s="26"/>
      <c r="H37" s="26"/>
      <c r="I37" s="26"/>
      <c r="J37" s="25"/>
      <c r="K37" s="25"/>
      <c r="L37" s="26"/>
      <c r="M37" s="26"/>
      <c r="N37" s="48"/>
      <c r="O37" s="26"/>
      <c r="P37" s="26"/>
      <c r="Q37" s="26"/>
      <c r="R37" s="39"/>
      <c r="S37" s="26"/>
      <c r="T37" s="26"/>
      <c r="U37" s="26"/>
      <c r="V37" s="26"/>
      <c r="W37" s="26"/>
      <c r="X37" s="26"/>
      <c r="Y37" s="26"/>
      <c r="Z37" s="26"/>
    </row>
    <row r="38" spans="1:26">
      <c r="G38" s="26"/>
      <c r="H38" s="26"/>
      <c r="I38" s="26"/>
      <c r="J38" s="25"/>
      <c r="K38" s="25"/>
      <c r="L38" s="26"/>
      <c r="M38" s="26"/>
      <c r="N38" s="48"/>
      <c r="O38" s="26"/>
      <c r="P38" s="26"/>
      <c r="Q38" s="26"/>
      <c r="R38" s="39"/>
      <c r="S38" s="26"/>
      <c r="T38" s="26"/>
      <c r="U38" s="26"/>
      <c r="V38" s="26"/>
      <c r="W38" s="26"/>
      <c r="X38" s="26"/>
      <c r="Y38" s="26"/>
      <c r="Z38" s="26"/>
    </row>
    <row r="39" spans="1:26">
      <c r="G39" s="26"/>
      <c r="H39" s="26"/>
      <c r="I39" s="26"/>
      <c r="J39" s="25"/>
      <c r="K39" s="25"/>
      <c r="L39" s="26"/>
      <c r="M39" s="26"/>
      <c r="N39" s="48"/>
      <c r="O39" s="26"/>
      <c r="P39" s="26"/>
      <c r="Q39" s="26"/>
      <c r="R39" s="39"/>
      <c r="S39" s="26"/>
      <c r="T39" s="26"/>
      <c r="U39" s="26"/>
      <c r="V39" s="26"/>
      <c r="W39" s="26"/>
      <c r="X39" s="26"/>
      <c r="Y39" s="26"/>
      <c r="Z39" s="26"/>
    </row>
    <row r="40" spans="1:26">
      <c r="G40" s="26"/>
      <c r="H40" s="26"/>
      <c r="I40" s="26"/>
      <c r="J40" s="25"/>
      <c r="K40" s="25"/>
      <c r="L40" s="26"/>
      <c r="M40" s="26"/>
      <c r="N40" s="26"/>
      <c r="O40" s="26"/>
      <c r="P40" s="26"/>
      <c r="Q40" s="26"/>
      <c r="R40" s="39"/>
      <c r="S40" s="26"/>
      <c r="T40" s="26"/>
      <c r="U40" s="26"/>
      <c r="V40" s="26"/>
      <c r="W40" s="26"/>
      <c r="X40" s="26"/>
      <c r="Y40" s="26"/>
      <c r="Z40" s="26"/>
    </row>
    <row r="41" spans="1:26">
      <c r="G41" s="26"/>
      <c r="H41" s="26"/>
      <c r="I41" s="26"/>
      <c r="J41" s="25"/>
      <c r="K41" s="25"/>
      <c r="L41" s="26"/>
      <c r="M41" s="26"/>
      <c r="N41" s="26"/>
      <c r="O41" s="26"/>
      <c r="P41" s="26"/>
      <c r="Q41" s="26"/>
      <c r="R41" s="39"/>
      <c r="S41" s="26"/>
      <c r="T41" s="26"/>
      <c r="U41" s="26"/>
      <c r="V41" s="26"/>
      <c r="W41" s="26"/>
      <c r="X41" s="26"/>
      <c r="Y41" s="26"/>
      <c r="Z41" s="26"/>
    </row>
    <row r="42" spans="1:26">
      <c r="G42" s="26"/>
      <c r="H42" s="26"/>
      <c r="I42" s="26"/>
      <c r="J42" s="25"/>
      <c r="K42" s="25"/>
      <c r="L42" s="26"/>
      <c r="M42" s="26"/>
      <c r="N42" s="26"/>
      <c r="O42" s="26"/>
      <c r="P42" s="26"/>
      <c r="Q42" s="26"/>
      <c r="R42" s="39"/>
      <c r="S42" s="26"/>
      <c r="T42" s="26"/>
      <c r="U42" s="26"/>
      <c r="V42" s="26"/>
      <c r="W42" s="26"/>
      <c r="X42" s="26"/>
      <c r="Y42" s="26"/>
      <c r="Z42" s="26"/>
    </row>
    <row r="43" spans="1:26">
      <c r="G43" s="26"/>
      <c r="H43" s="26"/>
      <c r="I43" s="26"/>
      <c r="J43" s="25"/>
      <c r="K43" s="25"/>
      <c r="L43" s="26"/>
      <c r="M43" s="26"/>
      <c r="N43" s="26"/>
      <c r="O43" s="26"/>
      <c r="P43" s="26"/>
      <c r="Q43" s="26"/>
      <c r="R43" s="39"/>
      <c r="S43" s="26"/>
      <c r="T43" s="26"/>
      <c r="U43" s="26"/>
      <c r="V43" s="26"/>
      <c r="W43" s="26"/>
      <c r="X43" s="26"/>
      <c r="Y43" s="26"/>
      <c r="Z43" s="26"/>
    </row>
    <row r="44" spans="1:26">
      <c r="G44" s="26"/>
      <c r="H44" s="26"/>
      <c r="I44" s="26"/>
      <c r="J44" s="25"/>
      <c r="K44" s="25"/>
      <c r="L44" s="26"/>
      <c r="M44" s="26"/>
      <c r="N44" s="26"/>
      <c r="O44" s="26"/>
      <c r="P44" s="26"/>
      <c r="Q44" s="26"/>
      <c r="R44" s="39"/>
      <c r="S44" s="26"/>
      <c r="T44" s="26"/>
      <c r="U44" s="26"/>
      <c r="V44" s="26"/>
      <c r="W44" s="26"/>
      <c r="X44" s="26"/>
      <c r="Y44" s="26"/>
      <c r="Z44" s="26"/>
    </row>
    <row r="45" spans="1:26">
      <c r="G45" s="26"/>
      <c r="H45" s="26"/>
      <c r="I45" s="26"/>
      <c r="J45" s="25"/>
      <c r="K45" s="25"/>
      <c r="L45" s="26"/>
      <c r="M45" s="26"/>
      <c r="N45" s="26"/>
      <c r="O45" s="26"/>
      <c r="P45" s="26"/>
      <c r="Q45" s="26"/>
      <c r="R45" s="39"/>
      <c r="S45" s="26"/>
      <c r="T45" s="26"/>
      <c r="U45" s="26"/>
      <c r="V45" s="26"/>
      <c r="W45" s="26"/>
      <c r="X45" s="26"/>
      <c r="Y45" s="26"/>
      <c r="Z45" s="26"/>
    </row>
    <row r="46" spans="1:26">
      <c r="G46" s="26"/>
      <c r="H46" s="26"/>
      <c r="I46" s="26"/>
      <c r="J46" s="25"/>
      <c r="K46" s="25"/>
      <c r="L46" s="26"/>
      <c r="M46" s="26"/>
      <c r="N46" s="26"/>
      <c r="O46" s="26"/>
      <c r="P46" s="26"/>
      <c r="Q46" s="26"/>
      <c r="R46" s="39"/>
      <c r="S46" s="26"/>
      <c r="T46" s="26"/>
      <c r="U46" s="26"/>
      <c r="V46" s="26"/>
      <c r="W46" s="26"/>
      <c r="X46" s="26"/>
      <c r="Y46" s="26"/>
      <c r="Z46" s="26"/>
    </row>
    <row r="47" spans="1:26">
      <c r="G47" s="26"/>
      <c r="H47" s="26"/>
      <c r="I47" s="26"/>
      <c r="J47" s="25"/>
      <c r="K47" s="25"/>
      <c r="L47" s="26"/>
      <c r="M47" s="26"/>
      <c r="N47" s="26"/>
      <c r="O47" s="26"/>
      <c r="P47" s="26"/>
      <c r="Q47" s="26"/>
      <c r="R47" s="39"/>
      <c r="S47" s="26"/>
      <c r="T47" s="26"/>
      <c r="U47" s="26"/>
      <c r="V47" s="26"/>
      <c r="W47" s="26"/>
      <c r="X47" s="26"/>
      <c r="Y47" s="26"/>
      <c r="Z47" s="26"/>
    </row>
    <row r="48" spans="1:26">
      <c r="G48" s="26"/>
      <c r="H48" s="26"/>
      <c r="I48" s="26"/>
      <c r="J48" s="25"/>
      <c r="K48" s="25"/>
      <c r="L48" s="26"/>
      <c r="M48" s="26"/>
      <c r="N48" s="26"/>
      <c r="O48" s="26"/>
      <c r="P48" s="26"/>
      <c r="Q48" s="26"/>
      <c r="R48" s="39"/>
      <c r="S48" s="26"/>
      <c r="T48" s="26"/>
      <c r="U48" s="26"/>
      <c r="V48" s="26"/>
      <c r="W48" s="26"/>
      <c r="X48" s="26"/>
      <c r="Y48" s="26"/>
      <c r="Z48" s="26"/>
    </row>
    <row r="49" spans="7:26">
      <c r="G49" s="26"/>
      <c r="H49" s="26"/>
      <c r="I49" s="26"/>
      <c r="J49" s="25"/>
      <c r="K49" s="25"/>
      <c r="L49" s="26"/>
      <c r="M49" s="26"/>
      <c r="N49" s="26"/>
      <c r="O49" s="26"/>
      <c r="P49" s="26"/>
      <c r="Q49" s="26"/>
      <c r="R49" s="39"/>
      <c r="S49" s="26"/>
      <c r="T49" s="26"/>
      <c r="U49" s="26"/>
      <c r="V49" s="26"/>
      <c r="W49" s="26"/>
      <c r="X49" s="26"/>
      <c r="Y49" s="26"/>
      <c r="Z49" s="26"/>
    </row>
    <row r="50" spans="7:26">
      <c r="G50" s="26"/>
      <c r="H50" s="26"/>
      <c r="I50" s="26"/>
      <c r="J50" s="25"/>
      <c r="K50" s="25"/>
      <c r="L50" s="26"/>
      <c r="M50" s="26"/>
      <c r="N50" s="26"/>
      <c r="O50" s="26"/>
      <c r="P50" s="26"/>
      <c r="Q50" s="26"/>
      <c r="R50" s="39"/>
      <c r="S50" s="26"/>
      <c r="T50" s="26"/>
      <c r="U50" s="26"/>
      <c r="V50" s="26"/>
      <c r="W50" s="26"/>
      <c r="X50" s="26"/>
      <c r="Y50" s="26"/>
      <c r="Z50" s="26"/>
    </row>
    <row r="51" spans="7:26">
      <c r="G51" s="26"/>
      <c r="H51" s="26"/>
      <c r="I51" s="26"/>
      <c r="J51" s="25"/>
      <c r="K51" s="25"/>
      <c r="L51" s="26"/>
      <c r="M51" s="26"/>
      <c r="N51" s="26"/>
      <c r="O51" s="26"/>
      <c r="P51" s="26"/>
      <c r="Q51" s="26"/>
      <c r="R51" s="39"/>
      <c r="S51" s="26"/>
      <c r="T51" s="26"/>
      <c r="U51" s="26"/>
      <c r="V51" s="26"/>
      <c r="W51" s="26"/>
      <c r="X51" s="26"/>
      <c r="Y51" s="26"/>
      <c r="Z51" s="26"/>
    </row>
    <row r="52" spans="7:26">
      <c r="G52" s="26"/>
      <c r="H52" s="26"/>
      <c r="I52" s="26"/>
      <c r="J52" s="25"/>
      <c r="K52" s="25"/>
      <c r="L52" s="26"/>
      <c r="M52" s="26"/>
      <c r="N52" s="26"/>
      <c r="O52" s="26"/>
      <c r="P52" s="26"/>
      <c r="Q52" s="26"/>
      <c r="R52" s="39"/>
      <c r="S52" s="26"/>
      <c r="T52" s="26"/>
      <c r="U52" s="26"/>
      <c r="V52" s="26"/>
      <c r="W52" s="26"/>
      <c r="X52" s="26"/>
      <c r="Y52" s="26"/>
      <c r="Z52" s="26"/>
    </row>
    <row r="53" spans="7:26">
      <c r="G53" s="26"/>
      <c r="H53" s="26"/>
      <c r="I53" s="26"/>
      <c r="J53" s="25"/>
      <c r="K53" s="25"/>
      <c r="L53" s="26"/>
      <c r="M53" s="26"/>
      <c r="N53" s="26"/>
      <c r="O53" s="26"/>
      <c r="P53" s="26"/>
      <c r="Q53" s="26"/>
      <c r="R53" s="39"/>
      <c r="S53" s="26"/>
      <c r="T53" s="26"/>
      <c r="U53" s="26"/>
      <c r="V53" s="26"/>
      <c r="W53" s="26"/>
      <c r="X53" s="26"/>
      <c r="Y53" s="26"/>
      <c r="Z53" s="26"/>
    </row>
    <row r="54" spans="7:26">
      <c r="G54" s="26"/>
      <c r="H54" s="26"/>
      <c r="I54" s="26"/>
      <c r="J54" s="25"/>
      <c r="K54" s="25"/>
      <c r="L54" s="26"/>
      <c r="M54" s="26"/>
      <c r="N54" s="26"/>
      <c r="O54" s="26"/>
      <c r="P54" s="26"/>
      <c r="Q54" s="26"/>
      <c r="R54" s="39"/>
      <c r="S54" s="26"/>
      <c r="T54" s="26"/>
      <c r="U54" s="26"/>
      <c r="V54" s="26"/>
      <c r="W54" s="26"/>
      <c r="X54" s="26"/>
      <c r="Y54" s="26"/>
      <c r="Z54" s="26"/>
    </row>
    <row r="55" spans="7:26">
      <c r="G55" s="26"/>
      <c r="H55" s="26"/>
      <c r="I55" s="26"/>
      <c r="J55" s="25"/>
      <c r="K55" s="25"/>
      <c r="L55" s="26"/>
      <c r="M55" s="26"/>
      <c r="N55" s="26"/>
      <c r="O55" s="26"/>
      <c r="P55" s="26"/>
      <c r="Q55" s="26"/>
      <c r="R55" s="39"/>
      <c r="S55" s="26"/>
      <c r="T55" s="26"/>
      <c r="U55" s="26"/>
      <c r="V55" s="26"/>
      <c r="W55" s="26"/>
      <c r="X55" s="26"/>
      <c r="Y55" s="26"/>
      <c r="Z55" s="26"/>
    </row>
    <row r="56" spans="7:26">
      <c r="G56" s="26"/>
      <c r="H56" s="26"/>
      <c r="I56" s="26"/>
      <c r="J56" s="25"/>
      <c r="K56" s="25"/>
      <c r="L56" s="26"/>
      <c r="M56" s="26"/>
      <c r="N56" s="26"/>
      <c r="O56" s="26"/>
      <c r="P56" s="26"/>
      <c r="Q56" s="26"/>
      <c r="R56" s="39"/>
      <c r="S56" s="26"/>
      <c r="T56" s="26"/>
      <c r="U56" s="26"/>
      <c r="V56" s="26"/>
      <c r="W56" s="26"/>
      <c r="X56" s="26"/>
      <c r="Y56" s="26"/>
      <c r="Z56" s="26"/>
    </row>
    <row r="57" spans="7:26">
      <c r="G57" s="26"/>
      <c r="H57" s="26"/>
      <c r="I57" s="26"/>
      <c r="J57" s="25"/>
      <c r="K57" s="25"/>
      <c r="L57" s="26"/>
      <c r="M57" s="26"/>
      <c r="N57" s="26"/>
      <c r="O57" s="26"/>
      <c r="P57" s="26"/>
      <c r="Q57" s="26"/>
      <c r="R57" s="39"/>
      <c r="S57" s="26"/>
      <c r="T57" s="26"/>
      <c r="U57" s="26"/>
      <c r="V57" s="26"/>
      <c r="W57" s="26"/>
      <c r="X57" s="26"/>
      <c r="Y57" s="26"/>
      <c r="Z57" s="26"/>
    </row>
    <row r="58" spans="7:26">
      <c r="G58" s="26"/>
      <c r="H58" s="26"/>
      <c r="I58" s="26"/>
      <c r="J58" s="25"/>
      <c r="K58" s="25"/>
      <c r="L58" s="26"/>
      <c r="M58" s="26"/>
      <c r="N58" s="26"/>
      <c r="O58" s="26"/>
      <c r="P58" s="26"/>
      <c r="Q58" s="26"/>
      <c r="R58" s="39"/>
      <c r="S58" s="26"/>
      <c r="T58" s="26"/>
      <c r="U58" s="26"/>
      <c r="V58" s="26"/>
      <c r="W58" s="26"/>
      <c r="X58" s="26"/>
      <c r="Y58" s="26"/>
      <c r="Z58" s="26"/>
    </row>
    <row r="59" spans="7:26">
      <c r="G59" s="26"/>
      <c r="H59" s="26"/>
      <c r="I59" s="26"/>
      <c r="J59" s="25"/>
      <c r="K59" s="25"/>
      <c r="L59" s="26"/>
      <c r="M59" s="26"/>
      <c r="N59" s="26"/>
      <c r="O59" s="26"/>
      <c r="P59" s="26"/>
      <c r="Q59" s="26"/>
      <c r="R59" s="39"/>
      <c r="S59" s="26"/>
      <c r="T59" s="26"/>
      <c r="U59" s="26"/>
      <c r="V59" s="26"/>
      <c r="W59" s="26"/>
      <c r="X59" s="26"/>
      <c r="Y59" s="26"/>
      <c r="Z59" s="26"/>
    </row>
    <row r="60" spans="7:26">
      <c r="G60" s="26"/>
      <c r="H60" s="26"/>
      <c r="I60" s="26"/>
      <c r="J60" s="25"/>
      <c r="K60" s="25"/>
      <c r="L60" s="26"/>
      <c r="M60" s="26"/>
      <c r="N60" s="26"/>
      <c r="O60" s="26"/>
      <c r="P60" s="26"/>
      <c r="Q60" s="26"/>
      <c r="R60" s="39"/>
      <c r="S60" s="26"/>
      <c r="T60" s="26"/>
      <c r="U60" s="26"/>
      <c r="V60" s="26"/>
      <c r="W60" s="26"/>
      <c r="X60" s="26"/>
      <c r="Y60" s="26"/>
      <c r="Z60" s="26"/>
    </row>
    <row r="61" spans="7:26">
      <c r="G61" s="26"/>
      <c r="H61" s="26"/>
      <c r="I61" s="26"/>
      <c r="J61" s="25"/>
      <c r="K61" s="25"/>
      <c r="L61" s="26"/>
      <c r="M61" s="26"/>
      <c r="N61" s="26"/>
      <c r="O61" s="26"/>
      <c r="P61" s="26"/>
      <c r="Q61" s="26"/>
      <c r="R61" s="39"/>
      <c r="S61" s="26"/>
      <c r="T61" s="26"/>
      <c r="U61" s="26"/>
      <c r="V61" s="26"/>
      <c r="W61" s="26"/>
      <c r="X61" s="26"/>
      <c r="Y61" s="26"/>
      <c r="Z61" s="26"/>
    </row>
    <row r="62" spans="7:26">
      <c r="G62" s="26"/>
      <c r="H62" s="26"/>
      <c r="I62" s="26"/>
      <c r="J62" s="25"/>
      <c r="K62" s="25"/>
      <c r="L62" s="26"/>
      <c r="M62" s="26"/>
      <c r="N62" s="26"/>
      <c r="O62" s="26"/>
      <c r="P62" s="26"/>
      <c r="Q62" s="26"/>
      <c r="R62" s="39"/>
      <c r="S62" s="26"/>
      <c r="T62" s="26"/>
      <c r="U62" s="26"/>
      <c r="V62" s="26"/>
      <c r="W62" s="26"/>
      <c r="X62" s="26"/>
      <c r="Y62" s="26"/>
      <c r="Z62" s="26"/>
    </row>
    <row r="63" spans="7:26">
      <c r="G63" s="26"/>
      <c r="H63" s="26"/>
      <c r="I63" s="26"/>
      <c r="J63" s="25"/>
      <c r="K63" s="25"/>
      <c r="L63" s="26"/>
      <c r="M63" s="26"/>
      <c r="N63" s="26"/>
      <c r="O63" s="26"/>
      <c r="P63" s="26"/>
      <c r="Q63" s="26"/>
      <c r="R63" s="39"/>
      <c r="S63" s="26"/>
      <c r="T63" s="26"/>
      <c r="U63" s="26"/>
      <c r="V63" s="26"/>
      <c r="W63" s="26"/>
      <c r="X63" s="26"/>
      <c r="Y63" s="26"/>
      <c r="Z63" s="26"/>
    </row>
    <row r="64" spans="7:26">
      <c r="G64" s="26"/>
      <c r="H64" s="26"/>
      <c r="I64" s="26"/>
      <c r="J64" s="25"/>
      <c r="K64" s="25"/>
      <c r="L64" s="26"/>
      <c r="M64" s="26"/>
      <c r="N64" s="26"/>
      <c r="O64" s="26"/>
      <c r="P64" s="26"/>
      <c r="Q64" s="26"/>
      <c r="R64" s="39"/>
      <c r="S64" s="26"/>
      <c r="T64" s="26"/>
      <c r="U64" s="26"/>
      <c r="V64" s="26"/>
      <c r="W64" s="26"/>
      <c r="X64" s="26"/>
      <c r="Y64" s="26"/>
      <c r="Z64" s="26"/>
    </row>
    <row r="65" spans="7:26">
      <c r="G65" s="26"/>
      <c r="H65" s="26"/>
      <c r="I65" s="26"/>
      <c r="J65" s="25"/>
      <c r="K65" s="25"/>
      <c r="L65" s="26"/>
      <c r="M65" s="26"/>
      <c r="N65" s="26"/>
      <c r="O65" s="26"/>
      <c r="P65" s="26"/>
      <c r="Q65" s="26"/>
      <c r="R65" s="39"/>
      <c r="S65" s="26"/>
      <c r="T65" s="26"/>
      <c r="U65" s="26"/>
      <c r="V65" s="26"/>
      <c r="W65" s="26"/>
      <c r="X65" s="26"/>
      <c r="Y65" s="26"/>
      <c r="Z65" s="26"/>
    </row>
    <row r="66" spans="7:26">
      <c r="G66" s="26"/>
      <c r="H66" s="26"/>
      <c r="I66" s="26"/>
      <c r="J66" s="25"/>
      <c r="K66" s="25"/>
      <c r="L66" s="26"/>
      <c r="M66" s="26"/>
      <c r="N66" s="26"/>
      <c r="O66" s="26"/>
      <c r="P66" s="26"/>
      <c r="Q66" s="26"/>
      <c r="R66" s="39"/>
      <c r="S66" s="26"/>
      <c r="T66" s="26"/>
      <c r="U66" s="26"/>
      <c r="V66" s="26"/>
      <c r="W66" s="26"/>
      <c r="X66" s="26"/>
      <c r="Y66" s="26"/>
      <c r="Z66" s="26"/>
    </row>
    <row r="67" spans="7:26">
      <c r="G67" s="28"/>
      <c r="H67" s="28"/>
      <c r="I67" s="28"/>
      <c r="J67" s="29"/>
      <c r="K67" s="29"/>
      <c r="L67" s="28"/>
      <c r="M67" s="26"/>
      <c r="N67" s="28"/>
      <c r="O67" s="28"/>
      <c r="P67" s="28"/>
      <c r="Q67" s="28"/>
      <c r="R67" s="40"/>
      <c r="S67" s="26"/>
      <c r="T67" s="26"/>
      <c r="U67" s="26"/>
      <c r="V67" s="26"/>
      <c r="W67" s="26"/>
      <c r="X67" s="26"/>
      <c r="Y67" s="26"/>
      <c r="Z67" s="26"/>
    </row>
    <row r="68" spans="7:26">
      <c r="G68" s="28"/>
      <c r="H68" s="28"/>
      <c r="I68" s="28"/>
      <c r="J68" s="29"/>
      <c r="K68" s="29"/>
      <c r="L68" s="28"/>
      <c r="M68" s="26"/>
      <c r="N68" s="28"/>
      <c r="O68" s="28"/>
      <c r="P68" s="28"/>
      <c r="Q68" s="28"/>
      <c r="R68" s="40"/>
      <c r="S68" s="26"/>
      <c r="T68" s="26"/>
      <c r="U68" s="26"/>
      <c r="V68" s="26"/>
      <c r="W68" s="26"/>
      <c r="X68" s="26"/>
      <c r="Y68" s="26"/>
      <c r="Z68" s="26"/>
    </row>
    <row r="69" spans="7:26"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39"/>
      <c r="S69" s="26"/>
      <c r="T69" s="26"/>
      <c r="U69" s="26"/>
      <c r="V69" s="26"/>
      <c r="W69" s="26"/>
      <c r="X69" s="26"/>
      <c r="Y69" s="26"/>
      <c r="Z69" s="26"/>
    </row>
    <row r="70" spans="7:26"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39"/>
      <c r="S70" s="26"/>
      <c r="T70" s="26"/>
      <c r="U70" s="26"/>
      <c r="V70" s="26"/>
      <c r="W70" s="26"/>
      <c r="X70" s="26"/>
      <c r="Y70" s="26"/>
      <c r="Z70" s="26"/>
    </row>
    <row r="71" spans="7:26"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39"/>
      <c r="S71" s="26"/>
      <c r="T71" s="26"/>
      <c r="U71" s="26"/>
      <c r="V71" s="26"/>
      <c r="W71" s="26"/>
      <c r="X71" s="26"/>
      <c r="Y71" s="26"/>
      <c r="Z71" s="26"/>
    </row>
    <row r="72" spans="7:26"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39"/>
      <c r="S72" s="26"/>
      <c r="T72" s="26"/>
      <c r="U72" s="26"/>
      <c r="V72" s="26"/>
      <c r="W72" s="26"/>
      <c r="X72" s="26"/>
      <c r="Y72" s="26"/>
      <c r="Z72" s="26"/>
    </row>
    <row r="73" spans="7:26"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39"/>
      <c r="S73" s="26"/>
      <c r="T73" s="26"/>
      <c r="U73" s="26"/>
      <c r="V73" s="26"/>
      <c r="W73" s="26"/>
      <c r="X73" s="26"/>
      <c r="Y73" s="26"/>
      <c r="Z73" s="26"/>
    </row>
    <row r="74" spans="7:26"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39"/>
      <c r="S74" s="26"/>
      <c r="T74" s="26"/>
      <c r="U74" s="26"/>
      <c r="V74" s="26"/>
      <c r="W74" s="26"/>
      <c r="X74" s="26"/>
      <c r="Y74" s="26"/>
      <c r="Z74" s="26"/>
    </row>
    <row r="75" spans="7:26"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39"/>
      <c r="S75" s="26"/>
      <c r="T75" s="26"/>
      <c r="U75" s="26"/>
      <c r="V75" s="26"/>
      <c r="W75" s="26"/>
      <c r="X75" s="26"/>
      <c r="Y75" s="26"/>
      <c r="Z75" s="26"/>
    </row>
    <row r="76" spans="7:26"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39"/>
      <c r="S76" s="26"/>
      <c r="T76" s="26"/>
      <c r="U76" s="26"/>
      <c r="V76" s="26"/>
      <c r="W76" s="26"/>
      <c r="X76" s="26"/>
      <c r="Y76" s="26"/>
      <c r="Z76" s="26"/>
    </row>
    <row r="77" spans="7:26"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39"/>
      <c r="S77" s="26"/>
      <c r="T77" s="26"/>
      <c r="U77" s="26"/>
      <c r="V77" s="26"/>
      <c r="W77" s="26"/>
      <c r="X77" s="26"/>
      <c r="Y77" s="26"/>
      <c r="Z77" s="26"/>
    </row>
    <row r="78" spans="7:26"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39"/>
      <c r="S78" s="26"/>
      <c r="T78" s="26"/>
      <c r="U78" s="26"/>
      <c r="V78" s="26"/>
      <c r="W78" s="26"/>
      <c r="X78" s="26"/>
      <c r="Y78" s="26"/>
      <c r="Z78" s="26"/>
    </row>
    <row r="79" spans="7:26"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39"/>
      <c r="S79" s="26"/>
      <c r="T79" s="26"/>
      <c r="U79" s="26"/>
      <c r="V79" s="26"/>
      <c r="W79" s="26"/>
      <c r="X79" s="26"/>
      <c r="Y79" s="26"/>
      <c r="Z79" s="26"/>
    </row>
    <row r="80" spans="7:26"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39"/>
      <c r="S80" s="26"/>
      <c r="T80" s="26"/>
      <c r="U80" s="26"/>
      <c r="V80" s="26"/>
      <c r="W80" s="26"/>
      <c r="X80" s="26"/>
      <c r="Y80" s="26"/>
      <c r="Z80" s="26"/>
    </row>
    <row r="81" spans="7:26"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39"/>
      <c r="S81" s="26"/>
      <c r="T81" s="26"/>
      <c r="U81" s="26"/>
      <c r="V81" s="26"/>
      <c r="W81" s="26"/>
      <c r="X81" s="26"/>
      <c r="Y81" s="26"/>
      <c r="Z81" s="26"/>
    </row>
    <row r="82" spans="7:26"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39"/>
      <c r="S82" s="26"/>
      <c r="T82" s="26"/>
      <c r="U82" s="26"/>
      <c r="V82" s="26"/>
      <c r="W82" s="26"/>
      <c r="X82" s="26"/>
      <c r="Y82" s="26"/>
      <c r="Z82" s="26"/>
    </row>
    <row r="83" spans="7:26"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39"/>
      <c r="S83" s="26"/>
      <c r="T83" s="26"/>
      <c r="U83" s="26"/>
      <c r="V83" s="26"/>
      <c r="W83" s="26"/>
      <c r="X83" s="26"/>
      <c r="Y83" s="26"/>
      <c r="Z83" s="26"/>
    </row>
    <row r="84" spans="7:26"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39"/>
      <c r="S84" s="26"/>
      <c r="T84" s="26"/>
      <c r="U84" s="26"/>
      <c r="V84" s="26"/>
      <c r="W84" s="26"/>
      <c r="X84" s="26"/>
      <c r="Y84" s="26"/>
      <c r="Z84" s="26"/>
    </row>
    <row r="85" spans="7:26"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39"/>
      <c r="S85" s="26"/>
      <c r="T85" s="26"/>
      <c r="U85" s="26"/>
      <c r="V85" s="26"/>
      <c r="W85" s="26"/>
      <c r="X85" s="26"/>
      <c r="Y85" s="26"/>
      <c r="Z85" s="26"/>
    </row>
    <row r="86" spans="7:26"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39"/>
      <c r="S86" s="26"/>
      <c r="T86" s="26"/>
      <c r="U86" s="26"/>
      <c r="V86" s="26"/>
      <c r="W86" s="26"/>
      <c r="X86" s="26"/>
      <c r="Y86" s="26"/>
      <c r="Z86" s="26"/>
    </row>
    <row r="87" spans="7:26"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39"/>
      <c r="S87" s="26"/>
      <c r="T87" s="26"/>
      <c r="U87" s="26"/>
      <c r="V87" s="26"/>
      <c r="W87" s="26"/>
      <c r="X87" s="26"/>
      <c r="Y87" s="26"/>
      <c r="Z87" s="26"/>
    </row>
    <row r="88" spans="7:26"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39"/>
      <c r="S88" s="26"/>
      <c r="T88" s="26"/>
      <c r="U88" s="26"/>
      <c r="V88" s="26"/>
      <c r="W88" s="26"/>
      <c r="X88" s="26"/>
      <c r="Y88" s="26"/>
      <c r="Z88" s="26"/>
    </row>
    <row r="89" spans="7:26"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39"/>
      <c r="S89" s="26"/>
      <c r="T89" s="26"/>
      <c r="U89" s="26"/>
      <c r="V89" s="26"/>
      <c r="W89" s="26"/>
      <c r="X89" s="26"/>
      <c r="Y89" s="26"/>
      <c r="Z89" s="26"/>
    </row>
    <row r="90" spans="7:26"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39"/>
      <c r="S90" s="26"/>
      <c r="T90" s="26"/>
      <c r="U90" s="26"/>
      <c r="V90" s="26"/>
      <c r="W90" s="26"/>
      <c r="X90" s="26"/>
      <c r="Y90" s="26"/>
      <c r="Z90" s="26"/>
    </row>
    <row r="91" spans="7:26"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39"/>
      <c r="S91" s="26"/>
      <c r="T91" s="26"/>
      <c r="U91" s="26"/>
      <c r="V91" s="26"/>
      <c r="W91" s="26"/>
      <c r="X91" s="26"/>
      <c r="Y91" s="26"/>
      <c r="Z91" s="26"/>
    </row>
    <row r="92" spans="7:26"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39"/>
      <c r="S92" s="26"/>
      <c r="T92" s="26"/>
      <c r="U92" s="26"/>
      <c r="V92" s="26"/>
      <c r="W92" s="26"/>
      <c r="X92" s="26"/>
      <c r="Y92" s="26"/>
      <c r="Z92" s="26"/>
    </row>
    <row r="93" spans="7:26"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39"/>
      <c r="S93" s="26"/>
      <c r="T93" s="26"/>
      <c r="U93" s="26"/>
      <c r="V93" s="26"/>
      <c r="W93" s="26"/>
      <c r="X93" s="26"/>
      <c r="Y93" s="26"/>
      <c r="Z93" s="26"/>
    </row>
    <row r="94" spans="7:26"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39"/>
      <c r="S94" s="26"/>
      <c r="T94" s="26"/>
      <c r="U94" s="26"/>
      <c r="V94" s="26"/>
      <c r="W94" s="26"/>
      <c r="X94" s="26"/>
      <c r="Y94" s="26"/>
      <c r="Z94" s="26"/>
    </row>
    <row r="95" spans="7:26"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39"/>
      <c r="S95" s="26"/>
      <c r="T95" s="26"/>
      <c r="U95" s="26"/>
      <c r="V95" s="26"/>
      <c r="W95" s="26"/>
      <c r="X95" s="26"/>
      <c r="Y95" s="26"/>
      <c r="Z95" s="26"/>
    </row>
    <row r="96" spans="7:26"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39"/>
      <c r="S96" s="26"/>
      <c r="T96" s="26"/>
      <c r="U96" s="26"/>
      <c r="V96" s="26"/>
      <c r="W96" s="26"/>
      <c r="X96" s="26"/>
      <c r="Y96" s="26"/>
      <c r="Z96" s="26"/>
    </row>
    <row r="97" spans="7:26"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39"/>
      <c r="S97" s="26"/>
      <c r="T97" s="26"/>
      <c r="U97" s="26"/>
      <c r="V97" s="26"/>
      <c r="W97" s="26"/>
      <c r="X97" s="26"/>
      <c r="Y97" s="26"/>
      <c r="Z97" s="26"/>
    </row>
    <row r="98" spans="7:26"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39"/>
      <c r="S98" s="26"/>
      <c r="T98" s="26"/>
      <c r="U98" s="26"/>
      <c r="V98" s="26"/>
      <c r="W98" s="26"/>
      <c r="X98" s="26"/>
      <c r="Y98" s="26"/>
      <c r="Z98" s="26"/>
    </row>
    <row r="99" spans="7:26"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39"/>
      <c r="S99" s="26"/>
      <c r="T99" s="26"/>
      <c r="U99" s="26"/>
      <c r="V99" s="26"/>
      <c r="W99" s="26"/>
      <c r="X99" s="26"/>
      <c r="Y99" s="26"/>
      <c r="Z99" s="26"/>
    </row>
    <row r="100" spans="7:26"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39"/>
      <c r="S100" s="26"/>
      <c r="T100" s="26"/>
      <c r="U100" s="26"/>
      <c r="V100" s="26"/>
      <c r="W100" s="26"/>
      <c r="X100" s="26"/>
      <c r="Y100" s="26"/>
      <c r="Z100" s="26"/>
    </row>
    <row r="101" spans="7:26"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39"/>
      <c r="S101" s="26"/>
      <c r="T101" s="26"/>
      <c r="U101" s="26"/>
      <c r="V101" s="26"/>
      <c r="W101" s="26"/>
      <c r="X101" s="26"/>
      <c r="Y101" s="26"/>
      <c r="Z101" s="26"/>
    </row>
    <row r="102" spans="7:26"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39"/>
      <c r="S102" s="26"/>
      <c r="T102" s="26"/>
      <c r="U102" s="26"/>
      <c r="V102" s="26"/>
      <c r="W102" s="26"/>
      <c r="X102" s="26"/>
      <c r="Y102" s="26"/>
      <c r="Z102" s="26"/>
    </row>
    <row r="103" spans="7:26"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39"/>
      <c r="S103" s="26"/>
      <c r="T103" s="26"/>
      <c r="U103" s="26"/>
      <c r="V103" s="26"/>
      <c r="W103" s="26"/>
      <c r="X103" s="26"/>
      <c r="Y103" s="26"/>
      <c r="Z103" s="26"/>
    </row>
    <row r="104" spans="7:26"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39"/>
      <c r="S104" s="26"/>
      <c r="T104" s="26"/>
      <c r="U104" s="26"/>
      <c r="V104" s="26"/>
      <c r="W104" s="26"/>
      <c r="X104" s="26"/>
      <c r="Y104" s="26"/>
      <c r="Z104" s="26"/>
    </row>
    <row r="105" spans="7:26"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39"/>
      <c r="S105" s="26"/>
      <c r="T105" s="26"/>
      <c r="U105" s="26"/>
      <c r="V105" s="26"/>
      <c r="W105" s="26"/>
      <c r="X105" s="26"/>
      <c r="Y105" s="26"/>
      <c r="Z105" s="26"/>
    </row>
    <row r="106" spans="7:26"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39"/>
      <c r="S106" s="26"/>
      <c r="T106" s="26"/>
      <c r="U106" s="26"/>
      <c r="V106" s="26"/>
      <c r="W106" s="26"/>
      <c r="X106" s="26"/>
      <c r="Y106" s="26"/>
      <c r="Z106" s="26"/>
    </row>
    <row r="107" spans="7:26"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39"/>
      <c r="S107" s="26"/>
      <c r="T107" s="26"/>
      <c r="U107" s="26"/>
      <c r="V107" s="26"/>
      <c r="W107" s="26"/>
      <c r="X107" s="26"/>
      <c r="Y107" s="26"/>
      <c r="Z107" s="26"/>
    </row>
    <row r="108" spans="7:26"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39"/>
      <c r="S108" s="26"/>
      <c r="T108" s="26"/>
      <c r="U108" s="26"/>
      <c r="V108" s="26"/>
      <c r="W108" s="26"/>
      <c r="X108" s="26"/>
      <c r="Y108" s="26"/>
      <c r="Z108" s="26"/>
    </row>
    <row r="109" spans="7:26"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39"/>
      <c r="S109" s="26"/>
      <c r="T109" s="26"/>
      <c r="U109" s="26"/>
      <c r="V109" s="26"/>
      <c r="W109" s="26"/>
      <c r="X109" s="26"/>
      <c r="Y109" s="26"/>
      <c r="Z109" s="26"/>
    </row>
    <row r="110" spans="7:26"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39"/>
      <c r="S110" s="26"/>
      <c r="T110" s="26"/>
      <c r="U110" s="26"/>
      <c r="V110" s="26"/>
      <c r="W110" s="26"/>
      <c r="X110" s="26"/>
      <c r="Y110" s="26"/>
      <c r="Z110" s="26"/>
    </row>
    <row r="111" spans="7:26"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39"/>
      <c r="S111" s="26"/>
      <c r="T111" s="26"/>
      <c r="U111" s="26"/>
      <c r="V111" s="26"/>
      <c r="W111" s="26"/>
      <c r="X111" s="26"/>
      <c r="Y111" s="26"/>
      <c r="Z111" s="26"/>
    </row>
    <row r="112" spans="7:26"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39"/>
      <c r="S112" s="26"/>
      <c r="T112" s="26"/>
      <c r="U112" s="26"/>
      <c r="V112" s="26"/>
      <c r="W112" s="26"/>
      <c r="X112" s="26"/>
      <c r="Y112" s="26"/>
      <c r="Z112" s="26"/>
    </row>
    <row r="113" spans="7:26"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39"/>
      <c r="S113" s="26"/>
      <c r="T113" s="26"/>
      <c r="U113" s="26"/>
      <c r="V113" s="26"/>
      <c r="W113" s="26"/>
      <c r="X113" s="26"/>
      <c r="Y113" s="26"/>
      <c r="Z113" s="26"/>
    </row>
    <row r="114" spans="7:26"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39"/>
      <c r="S114" s="26"/>
      <c r="T114" s="26"/>
      <c r="U114" s="26"/>
      <c r="V114" s="26"/>
      <c r="W114" s="26"/>
      <c r="X114" s="26"/>
      <c r="Y114" s="26"/>
      <c r="Z114" s="26"/>
    </row>
    <row r="115" spans="7:26"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39"/>
      <c r="S115" s="26"/>
      <c r="T115" s="26"/>
      <c r="U115" s="26"/>
      <c r="V115" s="26"/>
      <c r="W115" s="26"/>
      <c r="X115" s="26"/>
      <c r="Y115" s="26"/>
      <c r="Z115" s="26"/>
    </row>
    <row r="116" spans="7:26"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39"/>
      <c r="S116" s="26"/>
      <c r="T116" s="26"/>
      <c r="U116" s="26"/>
      <c r="V116" s="26"/>
      <c r="W116" s="26"/>
      <c r="X116" s="26"/>
      <c r="Y116" s="26"/>
      <c r="Z116" s="26"/>
    </row>
    <row r="117" spans="7:26"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39"/>
      <c r="S117" s="26"/>
      <c r="T117" s="26"/>
      <c r="U117" s="26"/>
      <c r="V117" s="26"/>
      <c r="W117" s="26"/>
      <c r="X117" s="26"/>
      <c r="Y117" s="26"/>
      <c r="Z117" s="26"/>
    </row>
    <row r="118" spans="7:26"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39"/>
      <c r="S118" s="26"/>
      <c r="T118" s="26"/>
      <c r="U118" s="26"/>
      <c r="V118" s="26"/>
      <c r="W118" s="26"/>
      <c r="X118" s="26"/>
      <c r="Y118" s="26"/>
      <c r="Z118" s="26"/>
    </row>
    <row r="119" spans="7:26"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39"/>
      <c r="S119" s="26"/>
      <c r="T119" s="26"/>
      <c r="U119" s="26"/>
      <c r="V119" s="26"/>
      <c r="W119" s="26"/>
      <c r="X119" s="26"/>
      <c r="Y119" s="26"/>
      <c r="Z119" s="26"/>
    </row>
    <row r="120" spans="7:26"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39"/>
      <c r="S120" s="26"/>
      <c r="T120" s="26"/>
      <c r="U120" s="26"/>
      <c r="V120" s="26"/>
      <c r="W120" s="26"/>
      <c r="X120" s="26"/>
      <c r="Y120" s="26"/>
      <c r="Z120" s="26"/>
    </row>
    <row r="121" spans="7:26"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39"/>
      <c r="S121" s="26"/>
      <c r="T121" s="26"/>
      <c r="U121" s="26"/>
      <c r="V121" s="26"/>
      <c r="W121" s="26"/>
      <c r="X121" s="26"/>
      <c r="Y121" s="26"/>
      <c r="Z121" s="26"/>
    </row>
    <row r="122" spans="7:26"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39"/>
      <c r="S122" s="26"/>
      <c r="T122" s="26"/>
      <c r="U122" s="26"/>
      <c r="V122" s="26"/>
      <c r="W122" s="26"/>
      <c r="X122" s="26"/>
      <c r="Y122" s="26"/>
      <c r="Z122" s="26"/>
    </row>
    <row r="123" spans="7:26"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39"/>
      <c r="S123" s="26"/>
      <c r="T123" s="26"/>
      <c r="U123" s="26"/>
      <c r="V123" s="26"/>
      <c r="W123" s="26"/>
      <c r="X123" s="26"/>
      <c r="Y123" s="26"/>
      <c r="Z123" s="26"/>
    </row>
    <row r="124" spans="7:26"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39"/>
      <c r="S124" s="26"/>
      <c r="T124" s="26"/>
      <c r="U124" s="26"/>
      <c r="V124" s="26"/>
      <c r="W124" s="26"/>
      <c r="X124" s="26"/>
      <c r="Y124" s="26"/>
      <c r="Z124" s="26"/>
    </row>
    <row r="125" spans="7:26"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39"/>
      <c r="S125" s="26"/>
      <c r="T125" s="26"/>
      <c r="U125" s="26"/>
      <c r="V125" s="26"/>
      <c r="W125" s="26"/>
      <c r="X125" s="26"/>
      <c r="Y125" s="26"/>
      <c r="Z125" s="26"/>
    </row>
    <row r="126" spans="7:26"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39"/>
      <c r="S126" s="26"/>
      <c r="T126" s="26"/>
      <c r="U126" s="26"/>
      <c r="V126" s="26"/>
      <c r="W126" s="26"/>
      <c r="X126" s="26"/>
      <c r="Y126" s="26"/>
      <c r="Z126" s="26"/>
    </row>
    <row r="127" spans="7:26"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39"/>
      <c r="S127" s="26"/>
      <c r="T127" s="26"/>
      <c r="U127" s="26"/>
      <c r="V127" s="26"/>
      <c r="W127" s="26"/>
      <c r="X127" s="26"/>
      <c r="Y127" s="26"/>
      <c r="Z127" s="26"/>
    </row>
    <row r="128" spans="7:26"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39"/>
      <c r="S128" s="26"/>
      <c r="T128" s="26"/>
      <c r="U128" s="26"/>
      <c r="V128" s="26"/>
      <c r="W128" s="26"/>
      <c r="X128" s="26"/>
      <c r="Y128" s="26"/>
      <c r="Z128" s="26"/>
    </row>
    <row r="129" spans="7:26"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39"/>
      <c r="S129" s="26"/>
      <c r="T129" s="26"/>
      <c r="U129" s="26"/>
      <c r="V129" s="26"/>
      <c r="W129" s="26"/>
      <c r="X129" s="26"/>
      <c r="Y129" s="26"/>
      <c r="Z129" s="26"/>
    </row>
    <row r="130" spans="7:26"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39"/>
      <c r="S130" s="26"/>
      <c r="T130" s="26"/>
      <c r="U130" s="26"/>
      <c r="V130" s="26"/>
      <c r="W130" s="26"/>
      <c r="X130" s="26"/>
      <c r="Y130" s="26"/>
      <c r="Z130" s="26"/>
    </row>
    <row r="131" spans="7:26"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39"/>
      <c r="S131" s="26"/>
      <c r="T131" s="26"/>
      <c r="U131" s="26"/>
      <c r="V131" s="26"/>
      <c r="W131" s="26"/>
      <c r="X131" s="26"/>
      <c r="Y131" s="26"/>
      <c r="Z131" s="26"/>
    </row>
    <row r="132" spans="7:26"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39"/>
      <c r="S132" s="26"/>
      <c r="T132" s="26"/>
      <c r="U132" s="26"/>
      <c r="V132" s="26"/>
      <c r="W132" s="26"/>
      <c r="X132" s="26"/>
      <c r="Y132" s="26"/>
      <c r="Z132" s="26"/>
    </row>
    <row r="133" spans="7:26"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39"/>
      <c r="S133" s="26"/>
      <c r="T133" s="26"/>
      <c r="U133" s="26"/>
      <c r="V133" s="26"/>
      <c r="W133" s="26"/>
      <c r="X133" s="26"/>
      <c r="Y133" s="26"/>
      <c r="Z133" s="26"/>
    </row>
    <row r="134" spans="7:26"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39"/>
      <c r="S134" s="26"/>
      <c r="T134" s="26"/>
      <c r="U134" s="26"/>
      <c r="V134" s="26"/>
      <c r="W134" s="26"/>
      <c r="X134" s="26"/>
      <c r="Y134" s="26"/>
      <c r="Z134" s="26"/>
    </row>
    <row r="135" spans="7:26"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39"/>
      <c r="S135" s="26"/>
      <c r="T135" s="26"/>
      <c r="U135" s="26"/>
      <c r="V135" s="26"/>
      <c r="W135" s="26"/>
      <c r="X135" s="26"/>
      <c r="Y135" s="26"/>
      <c r="Z135" s="26"/>
    </row>
    <row r="136" spans="7:26"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39"/>
      <c r="S136" s="26"/>
      <c r="T136" s="26"/>
      <c r="U136" s="26"/>
      <c r="V136" s="26"/>
      <c r="W136" s="26"/>
      <c r="X136" s="26"/>
      <c r="Y136" s="26"/>
      <c r="Z136" s="26"/>
    </row>
    <row r="137" spans="7:26"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39"/>
      <c r="S137" s="26"/>
      <c r="T137" s="26"/>
      <c r="U137" s="26"/>
      <c r="V137" s="26"/>
      <c r="W137" s="26"/>
      <c r="X137" s="26"/>
      <c r="Y137" s="26"/>
      <c r="Z137" s="26"/>
    </row>
    <row r="138" spans="7:26"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39"/>
      <c r="S138" s="26"/>
      <c r="T138" s="26"/>
      <c r="U138" s="26"/>
      <c r="V138" s="26"/>
      <c r="W138" s="26"/>
      <c r="X138" s="26"/>
      <c r="Y138" s="26"/>
      <c r="Z138" s="26"/>
    </row>
    <row r="139" spans="7:26"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39"/>
      <c r="S139" s="26"/>
      <c r="T139" s="26"/>
      <c r="U139" s="26"/>
      <c r="V139" s="26"/>
      <c r="W139" s="26"/>
      <c r="X139" s="26"/>
      <c r="Y139" s="26"/>
      <c r="Z139" s="26"/>
    </row>
    <row r="140" spans="7:26"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39"/>
      <c r="S140" s="26"/>
      <c r="T140" s="26"/>
      <c r="U140" s="26"/>
      <c r="V140" s="26"/>
      <c r="W140" s="26"/>
      <c r="X140" s="26"/>
      <c r="Y140" s="26"/>
      <c r="Z140" s="26"/>
    </row>
    <row r="141" spans="7:26"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39"/>
      <c r="S141" s="26"/>
      <c r="T141" s="26"/>
      <c r="U141" s="26"/>
      <c r="V141" s="26"/>
      <c r="W141" s="26"/>
      <c r="X141" s="26"/>
      <c r="Y141" s="26"/>
      <c r="Z141" s="26"/>
    </row>
    <row r="142" spans="7:26"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39"/>
      <c r="S142" s="26"/>
      <c r="T142" s="26"/>
      <c r="U142" s="26"/>
      <c r="V142" s="26"/>
      <c r="W142" s="26"/>
      <c r="X142" s="26"/>
      <c r="Y142" s="26"/>
      <c r="Z142" s="26"/>
    </row>
    <row r="143" spans="7:26"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39"/>
      <c r="S143" s="26"/>
      <c r="T143" s="26"/>
      <c r="U143" s="26"/>
      <c r="V143" s="26"/>
      <c r="W143" s="26"/>
      <c r="X143" s="26"/>
      <c r="Y143" s="26"/>
      <c r="Z143" s="26"/>
    </row>
    <row r="144" spans="7:26"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39"/>
      <c r="S144" s="26"/>
      <c r="T144" s="26"/>
      <c r="U144" s="26"/>
      <c r="V144" s="26"/>
      <c r="W144" s="26"/>
      <c r="X144" s="26"/>
      <c r="Y144" s="26"/>
      <c r="Z144" s="26"/>
    </row>
  </sheetData>
  <mergeCells count="1">
    <mergeCell ref="U1:Z1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708F-DC30-D742-87D2-4A9984E239AD}">
  <dimension ref="A1:AU144"/>
  <sheetViews>
    <sheetView tabSelected="1" zoomScale="90" zoomScaleNormal="90"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B4" sqref="B4:C18"/>
    </sheetView>
  </sheetViews>
  <sheetFormatPr baseColWidth="10" defaultColWidth="9.1640625" defaultRowHeight="13"/>
  <cols>
    <col min="1" max="1" width="30.5" style="2" bestFit="1" customWidth="1"/>
    <col min="2" max="2" width="8.83203125" style="2" bestFit="1" customWidth="1"/>
    <col min="3" max="3" width="10.5" style="2" bestFit="1" customWidth="1"/>
    <col min="4" max="4" width="16.33203125" style="23" bestFit="1" customWidth="1"/>
    <col min="5" max="6" width="7.6640625" style="23" bestFit="1" customWidth="1"/>
    <col min="7" max="7" width="12.1640625" style="8" bestFit="1" customWidth="1"/>
    <col min="8" max="8" width="7.6640625" style="23" bestFit="1" customWidth="1"/>
    <col min="9" max="9" width="7.6640625" style="8" bestFit="1" customWidth="1"/>
    <col min="10" max="11" width="10.6640625" style="15" bestFit="1" customWidth="1"/>
    <col min="12" max="12" width="7.6640625" style="23" bestFit="1" customWidth="1"/>
    <col min="13" max="13" width="14.1640625" style="20" bestFit="1" customWidth="1"/>
    <col min="14" max="14" width="14.83203125" style="2" bestFit="1" customWidth="1"/>
    <col min="15" max="15" width="22.83203125" style="2" bestFit="1" customWidth="1"/>
    <col min="16" max="16" width="17" style="2" bestFit="1" customWidth="1"/>
    <col min="17" max="17" width="17.33203125" style="2" bestFit="1" customWidth="1"/>
    <col min="18" max="18" width="26" style="35" bestFit="1" customWidth="1"/>
    <col min="19" max="19" width="29.33203125" style="18" bestFit="1" customWidth="1"/>
    <col min="20" max="20" width="6.6640625" style="18" bestFit="1" customWidth="1"/>
    <col min="21" max="21" width="7.5" style="2" bestFit="1" customWidth="1"/>
    <col min="22" max="23" width="12.6640625" style="2" bestFit="1" customWidth="1"/>
    <col min="24" max="25" width="6.6640625" style="2" bestFit="1" customWidth="1"/>
    <col min="26" max="26" width="11.33203125" style="2" bestFit="1" customWidth="1"/>
    <col min="27" max="46" width="9.1640625" style="2"/>
    <col min="47" max="47" width="9.1640625" style="51"/>
    <col min="48" max="16384" width="9.1640625" style="2"/>
  </cols>
  <sheetData>
    <row r="1" spans="1:47" ht="26.5" customHeight="1">
      <c r="A1" s="50" t="s">
        <v>72</v>
      </c>
      <c r="B1" s="3"/>
      <c r="C1" s="3"/>
      <c r="D1" s="21"/>
      <c r="E1" s="21"/>
      <c r="F1" s="21"/>
      <c r="G1" s="9"/>
      <c r="H1" s="19"/>
      <c r="I1" s="30"/>
      <c r="J1" s="19"/>
      <c r="K1" s="30"/>
      <c r="L1" s="19"/>
      <c r="M1" s="19"/>
      <c r="N1" s="30"/>
      <c r="O1" s="30"/>
      <c r="P1" s="30"/>
      <c r="Q1" s="30"/>
      <c r="R1" s="33"/>
      <c r="S1" s="16"/>
      <c r="T1" s="16"/>
      <c r="U1" s="67" t="s">
        <v>34</v>
      </c>
      <c r="V1" s="67"/>
      <c r="W1" s="67"/>
      <c r="X1" s="67"/>
      <c r="Y1" s="67"/>
      <c r="Z1" s="67"/>
    </row>
    <row r="2" spans="1:47" ht="42">
      <c r="A2" s="5" t="s">
        <v>0</v>
      </c>
      <c r="B2" s="5" t="s">
        <v>1</v>
      </c>
      <c r="C2" s="49" t="s">
        <v>30</v>
      </c>
      <c r="D2" s="45" t="s">
        <v>26</v>
      </c>
      <c r="E2" s="22" t="s">
        <v>23</v>
      </c>
      <c r="F2" s="22" t="s">
        <v>24</v>
      </c>
      <c r="G2" s="43" t="s">
        <v>25</v>
      </c>
      <c r="H2" s="22" t="s">
        <v>21</v>
      </c>
      <c r="I2" s="10" t="s">
        <v>22</v>
      </c>
      <c r="J2" s="44" t="s">
        <v>29</v>
      </c>
      <c r="K2" s="14" t="s">
        <v>31</v>
      </c>
      <c r="L2" s="22" t="s">
        <v>32</v>
      </c>
      <c r="M2" s="41" t="s">
        <v>33</v>
      </c>
      <c r="N2" s="49" t="s">
        <v>35</v>
      </c>
      <c r="O2" s="56" t="s">
        <v>40</v>
      </c>
      <c r="P2" s="42" t="s">
        <v>36</v>
      </c>
      <c r="Q2" s="42" t="s">
        <v>37</v>
      </c>
      <c r="R2" s="42" t="s">
        <v>38</v>
      </c>
      <c r="S2" s="42" t="s">
        <v>39</v>
      </c>
      <c r="T2" s="46" t="s">
        <v>2</v>
      </c>
      <c r="U2" s="46" t="s">
        <v>27</v>
      </c>
      <c r="V2" s="46" t="s">
        <v>28</v>
      </c>
      <c r="W2" s="46" t="s">
        <v>3</v>
      </c>
      <c r="X2" s="46" t="s">
        <v>4</v>
      </c>
      <c r="Y2" s="46" t="s">
        <v>5</v>
      </c>
      <c r="AT2" s="51"/>
      <c r="AU2" s="2"/>
    </row>
    <row r="3" spans="1:47" ht="15">
      <c r="A3" s="6" t="s">
        <v>6</v>
      </c>
      <c r="B3" s="66">
        <v>75</v>
      </c>
      <c r="C3" s="66">
        <v>1</v>
      </c>
      <c r="D3" s="23">
        <f>C3/B3</f>
        <v>1.3333333333333334E-2</v>
      </c>
      <c r="E3" s="23">
        <f>(D3*(1-D3))/(B3-1)</f>
        <v>1.7777777777777781E-4</v>
      </c>
      <c r="F3" s="23">
        <f>SQRT(E3)</f>
        <v>1.3333333333333334E-2</v>
      </c>
      <c r="G3" s="9">
        <v>0.752</v>
      </c>
      <c r="H3" s="21">
        <f>I3^2</f>
        <v>5.7600000000000001E-4</v>
      </c>
      <c r="I3" s="9">
        <v>2.4E-2</v>
      </c>
      <c r="J3" s="13">
        <f t="shared" ref="J3:J18" si="0">(D3/G3)</f>
        <v>1.7730496453900711E-2</v>
      </c>
      <c r="K3" s="13">
        <f>(E3/POWER(G3,2))+(POWER(D3,2)*H3)/POWER(G3,4)</f>
        <v>3.14690709859472E-4</v>
      </c>
      <c r="L3" s="21">
        <f>SQRT(K3)</f>
        <v>1.7739523946810748E-2</v>
      </c>
      <c r="M3" s="19">
        <v>0.61</v>
      </c>
      <c r="N3" s="54">
        <v>3696.72</v>
      </c>
      <c r="O3" s="55">
        <v>0.8</v>
      </c>
      <c r="P3" s="17">
        <f t="shared" ref="P3:P18" si="1">N3*0.1</f>
        <v>369.67200000000003</v>
      </c>
      <c r="Q3" s="34">
        <f t="shared" ref="Q3:Q18" si="2">P3/N3</f>
        <v>0.1</v>
      </c>
      <c r="R3" s="17">
        <f t="shared" ref="R3:R18" si="3">(M3*N3)*O3</f>
        <v>1803.9993599999998</v>
      </c>
      <c r="S3" s="17">
        <f>(R3*Q3)^2</f>
        <v>32544.136908804096</v>
      </c>
      <c r="T3" s="47">
        <f t="shared" ref="T3:T18" si="4" xml:space="preserve"> ( (B3+1)*(R3+1)*G3 / (C3+1) ) - 1</f>
        <v>51578.661711359993</v>
      </c>
      <c r="U3" s="47">
        <f t="shared" ref="U3:U18" si="5" xml:space="preserve"> (B3+1)*(B3-C3) /  ( ((C3+1)^2)*(C3+2))</f>
        <v>468.66666666666669</v>
      </c>
      <c r="V3" s="47">
        <f t="shared" ref="V3:V18" si="6">(B3/C3)^2*S3+R3^2*U3</f>
        <v>1708295986.5713081</v>
      </c>
      <c r="W3" s="47">
        <f t="shared" ref="W3:W18" si="7">(((B3*R3)/C3)^2)*H3+G3^2*V3</f>
        <v>976592513.94847357</v>
      </c>
      <c r="X3" s="47">
        <f>(SQRT(W3))</f>
        <v>31250.480219485806</v>
      </c>
      <c r="Y3" s="47">
        <f t="shared" ref="Y3:Y18" si="8">(1.96*X3)</f>
        <v>61250.941230192177</v>
      </c>
      <c r="AT3" s="51"/>
      <c r="AU3" s="2"/>
    </row>
    <row r="4" spans="1:47" ht="15">
      <c r="A4" s="6" t="s">
        <v>7</v>
      </c>
      <c r="B4" s="68">
        <v>117</v>
      </c>
      <c r="C4" s="68">
        <v>3</v>
      </c>
      <c r="D4" s="23">
        <f t="shared" ref="D4:D18" si="9">C4/B4</f>
        <v>2.564102564102564E-2</v>
      </c>
      <c r="E4" s="23">
        <f t="shared" ref="E4:E18" si="10">(D4*(1-D4))/(B4-1)</f>
        <v>2.1537554694053365E-4</v>
      </c>
      <c r="F4" s="23">
        <f t="shared" ref="F4:F18" si="11">SQRT(E4)</f>
        <v>1.4675678755700999E-2</v>
      </c>
      <c r="G4" s="9">
        <v>0.753</v>
      </c>
      <c r="H4" s="21">
        <f t="shared" ref="H4:H18" si="12">I4^2</f>
        <v>7.2899999999999994E-4</v>
      </c>
      <c r="I4" s="9">
        <v>2.7E-2</v>
      </c>
      <c r="J4" s="13">
        <f t="shared" si="0"/>
        <v>3.4051826880512136E-2</v>
      </c>
      <c r="K4" s="13">
        <f t="shared" ref="K4:K18" si="13">(E4/POWER(G4,2))+(POWER(D4,2)*H4)/POWER(G4,4)</f>
        <v>3.8133582017351933E-4</v>
      </c>
      <c r="L4" s="21">
        <f t="shared" ref="L4:L18" si="14">SQRT(K4)</f>
        <v>1.9527821695558348E-2</v>
      </c>
      <c r="M4" s="19">
        <v>0.61</v>
      </c>
      <c r="N4" s="54">
        <v>8672.5650000000005</v>
      </c>
      <c r="O4" s="55">
        <v>0.8</v>
      </c>
      <c r="P4" s="17">
        <f t="shared" si="1"/>
        <v>867.25650000000007</v>
      </c>
      <c r="Q4" s="34">
        <f t="shared" si="2"/>
        <v>0.1</v>
      </c>
      <c r="R4" s="17">
        <f t="shared" si="3"/>
        <v>4232.2117200000002</v>
      </c>
      <c r="S4" s="17">
        <f>(R4*Q4)^2</f>
        <v>179116.16042905359</v>
      </c>
      <c r="T4" s="47">
        <f t="shared" si="4"/>
        <v>94033.448542220009</v>
      </c>
      <c r="U4" s="47">
        <f t="shared" si="5"/>
        <v>168.15</v>
      </c>
      <c r="V4" s="47">
        <f t="shared" si="6"/>
        <v>3284273917.6271267</v>
      </c>
      <c r="W4" s="47">
        <f t="shared" si="7"/>
        <v>1882073430.8327575</v>
      </c>
      <c r="X4" s="47">
        <f t="shared" ref="X4:X18" si="15">(SQRT(W4))</f>
        <v>43382.870246593382</v>
      </c>
      <c r="Y4" s="47">
        <f t="shared" si="8"/>
        <v>85030.425683323032</v>
      </c>
      <c r="AT4" s="51"/>
      <c r="AU4" s="2"/>
    </row>
    <row r="5" spans="1:47" ht="15">
      <c r="A5" s="6" t="s">
        <v>8</v>
      </c>
      <c r="B5" s="68">
        <v>436</v>
      </c>
      <c r="C5" s="68">
        <v>41</v>
      </c>
      <c r="D5" s="23">
        <f t="shared" si="9"/>
        <v>9.4036697247706427E-2</v>
      </c>
      <c r="E5" s="23">
        <f t="shared" si="10"/>
        <v>1.9584780877804513E-4</v>
      </c>
      <c r="F5" s="23">
        <f t="shared" si="11"/>
        <v>1.3994563543678135E-2</v>
      </c>
      <c r="G5" s="9">
        <v>0.77700000000000002</v>
      </c>
      <c r="H5" s="21">
        <f t="shared" si="12"/>
        <v>6.2500000000000012E-4</v>
      </c>
      <c r="I5" s="9">
        <v>2.5000000000000001E-2</v>
      </c>
      <c r="J5" s="13">
        <f t="shared" si="0"/>
        <v>0.12102535038314854</v>
      </c>
      <c r="K5" s="13">
        <f t="shared" si="13"/>
        <v>3.3956008146891661E-4</v>
      </c>
      <c r="L5" s="21">
        <f t="shared" si="14"/>
        <v>1.8427156087386806E-2</v>
      </c>
      <c r="M5" s="19">
        <v>0.61</v>
      </c>
      <c r="N5" s="54">
        <v>5890.5510000000004</v>
      </c>
      <c r="O5" s="55">
        <v>0.8</v>
      </c>
      <c r="P5" s="17">
        <f t="shared" si="1"/>
        <v>589.05510000000004</v>
      </c>
      <c r="Q5" s="34">
        <f t="shared" si="2"/>
        <v>0.1</v>
      </c>
      <c r="R5" s="17">
        <f t="shared" si="3"/>
        <v>2874.5888880000002</v>
      </c>
      <c r="S5" s="17">
        <f t="shared" ref="S5:S18" si="16">(R5*Q5)^2</f>
        <v>82632.612750130778</v>
      </c>
      <c r="T5" s="47">
        <f t="shared" si="4"/>
        <v>23246.698365036002</v>
      </c>
      <c r="U5" s="47">
        <f t="shared" si="5"/>
        <v>2.2756815904656436</v>
      </c>
      <c r="V5" s="47">
        <f t="shared" si="6"/>
        <v>28149066.226637647</v>
      </c>
      <c r="W5" s="47">
        <f t="shared" si="7"/>
        <v>17578439.770559389</v>
      </c>
      <c r="X5" s="47">
        <f t="shared" si="15"/>
        <v>4192.6649962236897</v>
      </c>
      <c r="Y5" s="47">
        <f t="shared" si="8"/>
        <v>8217.6233925984325</v>
      </c>
      <c r="AT5" s="51"/>
      <c r="AU5" s="2"/>
    </row>
    <row r="6" spans="1:47" ht="15">
      <c r="A6" s="6" t="s">
        <v>9</v>
      </c>
      <c r="B6" s="68">
        <v>110</v>
      </c>
      <c r="C6" s="68">
        <v>7</v>
      </c>
      <c r="D6" s="23">
        <f t="shared" si="9"/>
        <v>6.363636363636363E-2</v>
      </c>
      <c r="E6" s="23">
        <f t="shared" si="10"/>
        <v>5.466676776101296E-4</v>
      </c>
      <c r="F6" s="23">
        <f t="shared" si="11"/>
        <v>2.3380925507988978E-2</v>
      </c>
      <c r="G6" s="9">
        <v>0.76600000000000001</v>
      </c>
      <c r="H6" s="21">
        <f t="shared" si="12"/>
        <v>7.8400000000000008E-4</v>
      </c>
      <c r="I6" s="9">
        <v>2.8000000000000001E-2</v>
      </c>
      <c r="J6" s="13">
        <f t="shared" si="0"/>
        <v>8.307619273676714E-2</v>
      </c>
      <c r="K6" s="13">
        <f t="shared" si="13"/>
        <v>9.4089975081472466E-4</v>
      </c>
      <c r="L6" s="21">
        <f t="shared" si="14"/>
        <v>3.0674089241813272E-2</v>
      </c>
      <c r="M6" s="19">
        <v>0.61</v>
      </c>
      <c r="N6" s="54">
        <v>3219.0619999999999</v>
      </c>
      <c r="O6" s="55">
        <v>0.8</v>
      </c>
      <c r="P6" s="17">
        <f t="shared" si="1"/>
        <v>321.90620000000001</v>
      </c>
      <c r="Q6" s="34">
        <f t="shared" si="2"/>
        <v>0.1</v>
      </c>
      <c r="R6" s="17">
        <f t="shared" si="3"/>
        <v>1570.9022560000001</v>
      </c>
      <c r="S6" s="17">
        <f t="shared" si="16"/>
        <v>24677.338979058903</v>
      </c>
      <c r="T6" s="47">
        <f t="shared" si="4"/>
        <v>16705.570152332002</v>
      </c>
      <c r="U6" s="47">
        <f t="shared" si="5"/>
        <v>19.848958333333332</v>
      </c>
      <c r="V6" s="47">
        <f t="shared" si="6"/>
        <v>55075739.187627293</v>
      </c>
      <c r="W6" s="47">
        <f t="shared" si="7"/>
        <v>32793773.705410022</v>
      </c>
      <c r="X6" s="47">
        <f t="shared" si="15"/>
        <v>5726.5848204152207</v>
      </c>
      <c r="Y6" s="47">
        <f t="shared" si="8"/>
        <v>11224.106248013832</v>
      </c>
      <c r="AT6" s="51"/>
      <c r="AU6" s="2"/>
    </row>
    <row r="7" spans="1:47" ht="15">
      <c r="A7" s="6" t="s">
        <v>10</v>
      </c>
      <c r="B7" s="68">
        <v>150</v>
      </c>
      <c r="C7" s="68">
        <v>6</v>
      </c>
      <c r="D7" s="23">
        <f t="shared" si="9"/>
        <v>0.04</v>
      </c>
      <c r="E7" s="23">
        <f t="shared" si="10"/>
        <v>2.5771812080536911E-4</v>
      </c>
      <c r="F7" s="23">
        <f t="shared" si="11"/>
        <v>1.6053601490175626E-2</v>
      </c>
      <c r="G7" s="9">
        <v>0.76500000000000001</v>
      </c>
      <c r="H7" s="21">
        <f t="shared" si="12"/>
        <v>8.9999999999999998E-4</v>
      </c>
      <c r="I7" s="9">
        <v>0.03</v>
      </c>
      <c r="J7" s="13">
        <f t="shared" si="0"/>
        <v>5.2287581699346407E-2</v>
      </c>
      <c r="K7" s="13">
        <f t="shared" si="13"/>
        <v>4.4457894465434384E-4</v>
      </c>
      <c r="L7" s="21">
        <f t="shared" si="14"/>
        <v>2.1085040779053377E-2</v>
      </c>
      <c r="M7" s="19">
        <v>0.61</v>
      </c>
      <c r="N7" s="54">
        <v>2277.2719999999999</v>
      </c>
      <c r="O7" s="55">
        <v>0.8</v>
      </c>
      <c r="P7" s="17">
        <f t="shared" si="1"/>
        <v>227.72720000000001</v>
      </c>
      <c r="Q7" s="34">
        <f t="shared" si="2"/>
        <v>0.1</v>
      </c>
      <c r="R7" s="17">
        <f t="shared" si="3"/>
        <v>1111.308736</v>
      </c>
      <c r="S7" s="17">
        <f t="shared" si="16"/>
        <v>12350.071067099178</v>
      </c>
      <c r="T7" s="47">
        <f t="shared" si="4"/>
        <v>18354.477662720001</v>
      </c>
      <c r="U7" s="47">
        <f t="shared" si="5"/>
        <v>55.469387755102041</v>
      </c>
      <c r="V7" s="47">
        <f t="shared" si="6"/>
        <v>76223882.499336094</v>
      </c>
      <c r="W7" s="47">
        <f t="shared" si="7"/>
        <v>45302813.133198291</v>
      </c>
      <c r="X7" s="47">
        <f t="shared" si="15"/>
        <v>6730.736448056653</v>
      </c>
      <c r="Y7" s="47">
        <f t="shared" si="8"/>
        <v>13192.243438191039</v>
      </c>
      <c r="AT7" s="51"/>
      <c r="AU7" s="2"/>
    </row>
    <row r="8" spans="1:47" ht="15">
      <c r="A8" s="6" t="s">
        <v>11</v>
      </c>
      <c r="B8" s="68">
        <v>122</v>
      </c>
      <c r="C8" s="68">
        <v>12</v>
      </c>
      <c r="D8" s="23">
        <f t="shared" si="9"/>
        <v>9.8360655737704916E-2</v>
      </c>
      <c r="E8" s="23">
        <f t="shared" si="10"/>
        <v>7.3294080281449269E-4</v>
      </c>
      <c r="F8" s="23">
        <f t="shared" si="11"/>
        <v>2.7072879470320343E-2</v>
      </c>
      <c r="G8" s="9">
        <v>0.77600000000000002</v>
      </c>
      <c r="H8" s="21">
        <f t="shared" si="12"/>
        <v>8.9999999999999998E-4</v>
      </c>
      <c r="I8" s="9">
        <v>0.03</v>
      </c>
      <c r="J8" s="13">
        <f t="shared" si="0"/>
        <v>0.12675342234240325</v>
      </c>
      <c r="K8" s="13">
        <f t="shared" si="13"/>
        <v>1.2411663531632831E-3</v>
      </c>
      <c r="L8" s="21">
        <f t="shared" si="14"/>
        <v>3.5230190932824694E-2</v>
      </c>
      <c r="M8" s="19">
        <v>0.61</v>
      </c>
      <c r="N8" s="54">
        <v>10552.976000000001</v>
      </c>
      <c r="O8" s="55">
        <v>0.8</v>
      </c>
      <c r="P8" s="17">
        <f t="shared" si="1"/>
        <v>1055.2976000000001</v>
      </c>
      <c r="Q8" s="34">
        <f t="shared" si="2"/>
        <v>0.1</v>
      </c>
      <c r="R8" s="17">
        <f t="shared" si="3"/>
        <v>5149.852288000001</v>
      </c>
      <c r="S8" s="17">
        <f t="shared" si="16"/>
        <v>265209.78588218841</v>
      </c>
      <c r="T8" s="47">
        <f t="shared" si="4"/>
        <v>37817.349937309547</v>
      </c>
      <c r="U8" s="47">
        <f t="shared" si="5"/>
        <v>5.7185122569737956</v>
      </c>
      <c r="V8" s="47">
        <f t="shared" si="6"/>
        <v>179072919.26999193</v>
      </c>
      <c r="W8" s="47">
        <f t="shared" si="7"/>
        <v>110300528.26749574</v>
      </c>
      <c r="X8" s="47">
        <f t="shared" si="15"/>
        <v>10502.405832355544</v>
      </c>
      <c r="Y8" s="47">
        <f t="shared" si="8"/>
        <v>20584.715431416866</v>
      </c>
      <c r="AA8" s="62"/>
      <c r="AT8" s="51"/>
      <c r="AU8" s="2"/>
    </row>
    <row r="9" spans="1:47" ht="15">
      <c r="A9" s="6" t="s">
        <v>12</v>
      </c>
      <c r="B9" s="68">
        <v>191</v>
      </c>
      <c r="C9" s="68">
        <v>8</v>
      </c>
      <c r="D9" s="23">
        <f t="shared" si="9"/>
        <v>4.1884816753926704E-2</v>
      </c>
      <c r="E9" s="23">
        <f t="shared" si="10"/>
        <v>2.1121304673377202E-4</v>
      </c>
      <c r="F9" s="23">
        <f t="shared" si="11"/>
        <v>1.4533170567146455E-2</v>
      </c>
      <c r="G9" s="9">
        <v>0.78835374899999999</v>
      </c>
      <c r="H9" s="21">
        <f t="shared" si="12"/>
        <v>7.8839323331228103E-4</v>
      </c>
      <c r="I9" s="9">
        <v>2.8078341E-2</v>
      </c>
      <c r="J9" s="13">
        <f t="shared" si="0"/>
        <v>5.3129469869403395E-2</v>
      </c>
      <c r="K9" s="13">
        <f t="shared" si="13"/>
        <v>3.4342383796170852E-4</v>
      </c>
      <c r="L9" s="21">
        <f t="shared" si="14"/>
        <v>1.8531698194221395E-2</v>
      </c>
      <c r="M9" s="19">
        <v>0.61</v>
      </c>
      <c r="N9" s="54">
        <v>5516.34</v>
      </c>
      <c r="O9" s="55">
        <v>0.8</v>
      </c>
      <c r="P9" s="17">
        <f t="shared" si="1"/>
        <v>551.63400000000001</v>
      </c>
      <c r="Q9" s="34">
        <f t="shared" si="2"/>
        <v>0.1</v>
      </c>
      <c r="R9" s="17">
        <f t="shared" si="3"/>
        <v>2691.9739200000004</v>
      </c>
      <c r="S9" s="17">
        <f t="shared" si="16"/>
        <v>72467.235859601686</v>
      </c>
      <c r="T9" s="47">
        <f t="shared" si="4"/>
        <v>45290.009830212832</v>
      </c>
      <c r="U9" s="47">
        <f t="shared" si="5"/>
        <v>43.37777777777778</v>
      </c>
      <c r="V9" s="47">
        <f t="shared" si="6"/>
        <v>355654222.06929439</v>
      </c>
      <c r="W9" s="47">
        <f t="shared" si="7"/>
        <v>224296331.93737265</v>
      </c>
      <c r="X9" s="47">
        <f t="shared" si="15"/>
        <v>14976.526030337365</v>
      </c>
      <c r="Y9" s="47">
        <f t="shared" si="8"/>
        <v>29353.991019461235</v>
      </c>
      <c r="AB9" s="62"/>
      <c r="AT9" s="51"/>
      <c r="AU9" s="2"/>
    </row>
    <row r="10" spans="1:47" ht="15">
      <c r="A10" s="2" t="s">
        <v>13</v>
      </c>
      <c r="B10" s="68">
        <v>215</v>
      </c>
      <c r="C10" s="68">
        <v>11</v>
      </c>
      <c r="D10" s="23">
        <f t="shared" si="9"/>
        <v>5.1162790697674418E-2</v>
      </c>
      <c r="E10" s="23">
        <f t="shared" si="10"/>
        <v>2.2684653993317933E-4</v>
      </c>
      <c r="F10" s="23">
        <f t="shared" si="11"/>
        <v>1.5061425561120678E-2</v>
      </c>
      <c r="G10" s="9">
        <v>0.79569004700000001</v>
      </c>
      <c r="H10" s="21">
        <f t="shared" si="12"/>
        <v>8.0313485525395592E-4</v>
      </c>
      <c r="I10" s="9">
        <v>2.8339633999999999E-2</v>
      </c>
      <c r="J10" s="13">
        <f t="shared" si="0"/>
        <v>6.4299900307379892E-2</v>
      </c>
      <c r="K10" s="13">
        <f t="shared" si="13"/>
        <v>3.6354264428700917E-4</v>
      </c>
      <c r="L10" s="21">
        <f t="shared" si="14"/>
        <v>1.9066794284488653E-2</v>
      </c>
      <c r="M10" s="19">
        <v>0.61</v>
      </c>
      <c r="N10" s="54">
        <v>4412.1062439999996</v>
      </c>
      <c r="O10" s="55">
        <v>0.8</v>
      </c>
      <c r="P10" s="17">
        <f t="shared" si="1"/>
        <v>441.21062439999997</v>
      </c>
      <c r="Q10" s="34">
        <f t="shared" si="2"/>
        <v>0.1</v>
      </c>
      <c r="R10" s="17">
        <f t="shared" si="3"/>
        <v>2153.1078470719999</v>
      </c>
      <c r="S10" s="17">
        <f t="shared" si="16"/>
        <v>46358.734011230234</v>
      </c>
      <c r="T10" s="47">
        <f t="shared" si="4"/>
        <v>30851.039133436192</v>
      </c>
      <c r="U10" s="47">
        <f t="shared" si="5"/>
        <v>23.53846153846154</v>
      </c>
      <c r="V10" s="47">
        <f t="shared" si="6"/>
        <v>126831513.53190055</v>
      </c>
      <c r="W10" s="47">
        <f t="shared" si="7"/>
        <v>81722270.813810468</v>
      </c>
      <c r="X10" s="47">
        <f t="shared" si="15"/>
        <v>9040.0371024576252</v>
      </c>
      <c r="Y10" s="47">
        <f t="shared" si="8"/>
        <v>17718.472720816946</v>
      </c>
      <c r="AT10" s="51"/>
      <c r="AU10" s="2"/>
    </row>
    <row r="11" spans="1:47" ht="15">
      <c r="A11" s="2" t="s">
        <v>14</v>
      </c>
      <c r="B11" s="68">
        <v>279</v>
      </c>
      <c r="C11" s="68">
        <v>14</v>
      </c>
      <c r="D11" s="23">
        <f t="shared" si="9"/>
        <v>5.0179211469534052E-2</v>
      </c>
      <c r="E11" s="23">
        <f t="shared" si="10"/>
        <v>1.7144337484111449E-4</v>
      </c>
      <c r="F11" s="23">
        <f t="shared" si="11"/>
        <v>1.3093638716610234E-2</v>
      </c>
      <c r="G11" s="9">
        <v>0.80309461599999998</v>
      </c>
      <c r="H11" s="21">
        <f t="shared" si="12"/>
        <v>8.1815208887616397E-4</v>
      </c>
      <c r="I11" s="9">
        <v>2.8603357999999999E-2</v>
      </c>
      <c r="J11" s="13">
        <f t="shared" si="0"/>
        <v>6.2482315868911335E-2</v>
      </c>
      <c r="K11" s="13">
        <f t="shared" si="13"/>
        <v>2.707721604526282E-4</v>
      </c>
      <c r="L11" s="21">
        <f t="shared" si="14"/>
        <v>1.645515604461496E-2</v>
      </c>
      <c r="M11" s="19">
        <v>0.61</v>
      </c>
      <c r="N11" s="54">
        <v>5420.8198979999997</v>
      </c>
      <c r="O11" s="55">
        <v>0.8</v>
      </c>
      <c r="P11" s="17">
        <f t="shared" si="1"/>
        <v>542.08198979999997</v>
      </c>
      <c r="Q11" s="34">
        <f t="shared" si="2"/>
        <v>0.1</v>
      </c>
      <c r="R11" s="17">
        <f t="shared" si="3"/>
        <v>2645.360110224</v>
      </c>
      <c r="S11" s="17">
        <f t="shared" si="16"/>
        <v>69979.301127643354</v>
      </c>
      <c r="T11" s="47">
        <f t="shared" si="4"/>
        <v>39670.847721670478</v>
      </c>
      <c r="U11" s="47">
        <f t="shared" si="5"/>
        <v>20.611111111111111</v>
      </c>
      <c r="V11" s="47">
        <f t="shared" si="6"/>
        <v>172027251.72991928</v>
      </c>
      <c r="W11" s="47">
        <f t="shared" si="7"/>
        <v>113224681.27228826</v>
      </c>
      <c r="X11" s="47">
        <f t="shared" si="15"/>
        <v>10640.708682803428</v>
      </c>
      <c r="Y11" s="47">
        <f t="shared" si="8"/>
        <v>20855.789018294719</v>
      </c>
      <c r="AT11" s="51"/>
      <c r="AU11" s="2"/>
    </row>
    <row r="12" spans="1:47" ht="15">
      <c r="A12" s="2" t="s">
        <v>15</v>
      </c>
      <c r="B12" s="68">
        <v>129</v>
      </c>
      <c r="C12" s="68">
        <v>6</v>
      </c>
      <c r="D12" s="23">
        <f t="shared" si="9"/>
        <v>4.6511627906976744E-2</v>
      </c>
      <c r="E12" s="23">
        <f t="shared" si="10"/>
        <v>3.4647106544077882E-4</v>
      </c>
      <c r="F12" s="23">
        <f t="shared" si="11"/>
        <v>1.8613733248351305E-2</v>
      </c>
      <c r="G12" s="9">
        <v>0.81056809100000005</v>
      </c>
      <c r="H12" s="21">
        <f t="shared" si="12"/>
        <v>8.334501088552961E-4</v>
      </c>
      <c r="I12" s="9">
        <v>2.8869536000000001E-2</v>
      </c>
      <c r="J12" s="13">
        <f t="shared" si="0"/>
        <v>5.7381518497224858E-2</v>
      </c>
      <c r="K12" s="13">
        <f t="shared" si="13"/>
        <v>5.3151347076612634E-4</v>
      </c>
      <c r="L12" s="21">
        <f t="shared" si="14"/>
        <v>2.3054575918158338E-2</v>
      </c>
      <c r="M12" s="19">
        <v>0.61</v>
      </c>
      <c r="N12" s="54">
        <v>2587.2251019999999</v>
      </c>
      <c r="O12" s="55">
        <v>0.8</v>
      </c>
      <c r="P12" s="17">
        <f t="shared" si="1"/>
        <v>258.72251019999999</v>
      </c>
      <c r="Q12" s="34">
        <f t="shared" si="2"/>
        <v>0.1</v>
      </c>
      <c r="R12" s="17">
        <f t="shared" si="3"/>
        <v>1262.5658497760001</v>
      </c>
      <c r="S12" s="17">
        <f t="shared" si="16"/>
        <v>15940.725250205933</v>
      </c>
      <c r="T12" s="47">
        <f t="shared" si="4"/>
        <v>19019.97151882061</v>
      </c>
      <c r="U12" s="47">
        <f t="shared" si="5"/>
        <v>40.79081632653061</v>
      </c>
      <c r="V12" s="47">
        <f t="shared" si="6"/>
        <v>72392119.826191574</v>
      </c>
      <c r="W12" s="47">
        <f t="shared" si="7"/>
        <v>48177252.253698982</v>
      </c>
      <c r="X12" s="47">
        <f t="shared" si="15"/>
        <v>6940.9835220737259</v>
      </c>
      <c r="Y12" s="47">
        <f t="shared" si="8"/>
        <v>13604.327703264502</v>
      </c>
      <c r="AT12" s="51"/>
      <c r="AU12" s="2"/>
    </row>
    <row r="13" spans="1:47" ht="15">
      <c r="A13" s="2" t="s">
        <v>16</v>
      </c>
      <c r="B13" s="68">
        <v>205</v>
      </c>
      <c r="C13" s="68">
        <v>10</v>
      </c>
      <c r="D13" s="23">
        <f t="shared" si="9"/>
        <v>4.878048780487805E-2</v>
      </c>
      <c r="E13" s="23">
        <f t="shared" si="10"/>
        <v>2.2745564614900095E-4</v>
      </c>
      <c r="F13" s="23">
        <f t="shared" si="11"/>
        <v>1.5081632741483959E-2</v>
      </c>
      <c r="G13" s="9">
        <v>0.81811111199999997</v>
      </c>
      <c r="H13" s="21">
        <f t="shared" si="12"/>
        <v>8.4903423302886403E-4</v>
      </c>
      <c r="I13" s="9">
        <v>2.9138192E-2</v>
      </c>
      <c r="J13" s="13">
        <f t="shared" si="0"/>
        <v>5.9625748983688234E-2</v>
      </c>
      <c r="K13" s="13">
        <f t="shared" si="13"/>
        <v>3.4434807075641089E-4</v>
      </c>
      <c r="L13" s="21">
        <f t="shared" si="14"/>
        <v>1.8556617977325794E-2</v>
      </c>
      <c r="M13" s="19">
        <v>0.61</v>
      </c>
      <c r="N13" s="54">
        <v>1955.3117099999999</v>
      </c>
      <c r="O13" s="55">
        <v>0.8</v>
      </c>
      <c r="P13" s="17">
        <f t="shared" si="1"/>
        <v>195.531171</v>
      </c>
      <c r="Q13" s="34">
        <f t="shared" si="2"/>
        <v>0.1</v>
      </c>
      <c r="R13" s="17">
        <f t="shared" si="3"/>
        <v>954.19211447999987</v>
      </c>
      <c r="S13" s="17">
        <f t="shared" si="16"/>
        <v>9104.8259133581341</v>
      </c>
      <c r="T13" s="47">
        <f t="shared" si="4"/>
        <v>14633.488753443451</v>
      </c>
      <c r="U13" s="47">
        <f t="shared" si="5"/>
        <v>27.665289256198346</v>
      </c>
      <c r="V13" s="47">
        <f t="shared" si="6"/>
        <v>29015067.342127055</v>
      </c>
      <c r="W13" s="47">
        <f t="shared" si="7"/>
        <v>19744818.846050691</v>
      </c>
      <c r="X13" s="47">
        <f t="shared" si="15"/>
        <v>4443.5142450599496</v>
      </c>
      <c r="Y13" s="47">
        <f t="shared" si="8"/>
        <v>8709.2879203175016</v>
      </c>
      <c r="AT13" s="51"/>
      <c r="AU13" s="2"/>
    </row>
    <row r="14" spans="1:47" ht="15">
      <c r="A14" s="2" t="s">
        <v>17</v>
      </c>
      <c r="B14" s="68">
        <v>148</v>
      </c>
      <c r="C14" s="68">
        <v>16</v>
      </c>
      <c r="D14" s="23">
        <f t="shared" si="9"/>
        <v>0.10810810810810811</v>
      </c>
      <c r="E14" s="23">
        <f t="shared" si="10"/>
        <v>6.5592343584621588E-4</v>
      </c>
      <c r="F14" s="23">
        <f t="shared" si="11"/>
        <v>2.5611002242126642E-2</v>
      </c>
      <c r="G14" s="9">
        <v>0.82572432799999995</v>
      </c>
      <c r="H14" s="21">
        <f t="shared" si="12"/>
        <v>8.6490969096640895E-4</v>
      </c>
      <c r="I14" s="9">
        <v>2.9409346999999999E-2</v>
      </c>
      <c r="J14" s="13">
        <f t="shared" si="0"/>
        <v>0.13092518222147878</v>
      </c>
      <c r="K14" s="13">
        <f t="shared" si="13"/>
        <v>9.837619117547252E-4</v>
      </c>
      <c r="L14" s="21">
        <f t="shared" si="14"/>
        <v>3.1364979065108989E-2</v>
      </c>
      <c r="M14" s="19">
        <v>0.61</v>
      </c>
      <c r="N14" s="54">
        <v>2621.38231</v>
      </c>
      <c r="O14" s="55">
        <v>0.8</v>
      </c>
      <c r="P14" s="17">
        <f t="shared" si="1"/>
        <v>262.13823100000002</v>
      </c>
      <c r="Q14" s="34">
        <f t="shared" si="2"/>
        <v>0.1</v>
      </c>
      <c r="R14" s="17">
        <f t="shared" si="3"/>
        <v>1279.2345672800002</v>
      </c>
      <c r="S14" s="17">
        <f t="shared" si="16"/>
        <v>16364.410781240493</v>
      </c>
      <c r="T14" s="47">
        <f t="shared" si="4"/>
        <v>9264.353137335158</v>
      </c>
      <c r="U14" s="47">
        <f t="shared" si="5"/>
        <v>3.7808535178777394</v>
      </c>
      <c r="V14" s="47">
        <f t="shared" si="6"/>
        <v>7587323.9044948416</v>
      </c>
      <c r="W14" s="47">
        <f t="shared" si="7"/>
        <v>5294297.1528320787</v>
      </c>
      <c r="X14" s="47">
        <f t="shared" si="15"/>
        <v>2300.9339740270862</v>
      </c>
      <c r="Y14" s="47">
        <f t="shared" si="8"/>
        <v>4509.8305890930887</v>
      </c>
      <c r="AT14" s="51"/>
      <c r="AU14" s="2"/>
    </row>
    <row r="15" spans="1:47" ht="15">
      <c r="A15" s="2" t="s">
        <v>18</v>
      </c>
      <c r="B15" s="68">
        <v>219</v>
      </c>
      <c r="C15" s="68">
        <v>10</v>
      </c>
      <c r="D15" s="23">
        <f t="shared" si="9"/>
        <v>4.5662100456621002E-2</v>
      </c>
      <c r="E15" s="23">
        <f t="shared" si="10"/>
        <v>1.9989483045188282E-4</v>
      </c>
      <c r="F15" s="23">
        <f t="shared" si="11"/>
        <v>1.4138416829754412E-2</v>
      </c>
      <c r="G15" s="9">
        <v>0.83340839099999997</v>
      </c>
      <c r="H15" s="21">
        <f t="shared" si="12"/>
        <v>8.8108203251667603E-4</v>
      </c>
      <c r="I15" s="9">
        <v>2.9683026000000001E-2</v>
      </c>
      <c r="J15" s="13">
        <f t="shared" si="0"/>
        <v>5.4789585693793434E-2</v>
      </c>
      <c r="K15" s="13">
        <f t="shared" si="13"/>
        <v>2.9160470765176932E-4</v>
      </c>
      <c r="L15" s="21">
        <f t="shared" si="14"/>
        <v>1.7076437206038304E-2</v>
      </c>
      <c r="M15" s="19">
        <v>0.61</v>
      </c>
      <c r="N15" s="54">
        <v>1222.1847600000001</v>
      </c>
      <c r="O15" s="55">
        <v>0.8</v>
      </c>
      <c r="P15" s="17">
        <f t="shared" si="1"/>
        <v>122.21847600000001</v>
      </c>
      <c r="Q15" s="34">
        <f t="shared" si="2"/>
        <v>0.1</v>
      </c>
      <c r="R15" s="17">
        <f t="shared" si="3"/>
        <v>596.42616287999999</v>
      </c>
      <c r="S15" s="17">
        <f t="shared" si="16"/>
        <v>3557.2416776776026</v>
      </c>
      <c r="T15" s="47">
        <f t="shared" si="4"/>
        <v>9956.9995429424944</v>
      </c>
      <c r="U15" s="47">
        <f t="shared" si="5"/>
        <v>31.666666666666668</v>
      </c>
      <c r="V15" s="47">
        <f t="shared" si="6"/>
        <v>12970687.327010032</v>
      </c>
      <c r="W15" s="47">
        <f t="shared" si="7"/>
        <v>9159364.8187571242</v>
      </c>
      <c r="X15" s="47">
        <f t="shared" si="15"/>
        <v>3026.4442533701367</v>
      </c>
      <c r="Y15" s="47">
        <f t="shared" si="8"/>
        <v>5931.8307366054678</v>
      </c>
      <c r="AT15" s="51"/>
      <c r="AU15" s="2"/>
    </row>
    <row r="16" spans="1:47" ht="15">
      <c r="A16" s="2">
        <v>2018</v>
      </c>
      <c r="B16" s="68">
        <v>83</v>
      </c>
      <c r="C16" s="68">
        <v>3</v>
      </c>
      <c r="D16" s="23">
        <f t="shared" si="9"/>
        <v>3.614457831325301E-2</v>
      </c>
      <c r="E16" s="23">
        <f t="shared" si="10"/>
        <v>4.2485546063183083E-4</v>
      </c>
      <c r="F16" s="23">
        <f t="shared" si="11"/>
        <v>2.0612022235380761E-2</v>
      </c>
      <c r="G16" s="9">
        <v>0.84116396100000002</v>
      </c>
      <c r="H16" s="21">
        <f t="shared" si="12"/>
        <v>8.975567803995039E-4</v>
      </c>
      <c r="I16" s="9">
        <v>2.9959251999999999E-2</v>
      </c>
      <c r="J16" s="13">
        <f t="shared" si="0"/>
        <v>4.2969718139473416E-2</v>
      </c>
      <c r="K16" s="13">
        <f t="shared" si="13"/>
        <v>6.0279641279890959E-4</v>
      </c>
      <c r="L16" s="21">
        <f t="shared" si="14"/>
        <v>2.455191260979294E-2</v>
      </c>
      <c r="M16" s="19">
        <v>0.61</v>
      </c>
      <c r="N16" s="54">
        <v>2783.5294520000002</v>
      </c>
      <c r="O16" s="55">
        <v>0.8</v>
      </c>
      <c r="P16" s="17">
        <f t="shared" si="1"/>
        <v>278.35294520000002</v>
      </c>
      <c r="Q16" s="34">
        <f t="shared" si="2"/>
        <v>0.1</v>
      </c>
      <c r="R16" s="17">
        <f t="shared" si="3"/>
        <v>1358.3623725760001</v>
      </c>
      <c r="S16" s="17">
        <f t="shared" si="16"/>
        <v>18451.483352302999</v>
      </c>
      <c r="T16" s="47">
        <f t="shared" si="4"/>
        <v>24011.379392758106</v>
      </c>
      <c r="U16" s="47">
        <f t="shared" si="5"/>
        <v>84</v>
      </c>
      <c r="V16" s="47">
        <f t="shared" si="6"/>
        <v>169116045.5831247</v>
      </c>
      <c r="W16" s="47">
        <f t="shared" si="7"/>
        <v>120926881.59779426</v>
      </c>
      <c r="X16" s="47">
        <f t="shared" si="15"/>
        <v>10996.675934017256</v>
      </c>
      <c r="Y16" s="47">
        <f t="shared" si="8"/>
        <v>21553.48483067382</v>
      </c>
      <c r="AT16" s="51"/>
      <c r="AU16" s="2"/>
    </row>
    <row r="17" spans="1:47" ht="15">
      <c r="A17" s="2">
        <v>2019</v>
      </c>
      <c r="B17" s="68">
        <v>145</v>
      </c>
      <c r="C17" s="68">
        <v>6</v>
      </c>
      <c r="D17" s="23">
        <f t="shared" si="9"/>
        <v>4.1379310344827586E-2</v>
      </c>
      <c r="E17" s="23">
        <f t="shared" si="10"/>
        <v>2.7546571541815302E-4</v>
      </c>
      <c r="F17" s="23">
        <f t="shared" si="11"/>
        <v>1.6597159859992702E-2</v>
      </c>
      <c r="G17" s="9">
        <v>0.84899170300000004</v>
      </c>
      <c r="H17" s="21">
        <f t="shared" si="12"/>
        <v>9.1433954685030399E-4</v>
      </c>
      <c r="I17" s="9">
        <v>3.0238048E-2</v>
      </c>
      <c r="J17" s="13">
        <f t="shared" si="0"/>
        <v>4.8739357756512239E-2</v>
      </c>
      <c r="K17" s="13">
        <f t="shared" si="13"/>
        <v>3.8518700511105063E-4</v>
      </c>
      <c r="L17" s="21">
        <f t="shared" si="14"/>
        <v>1.962618162330744E-2</v>
      </c>
      <c r="M17" s="19">
        <v>0.61</v>
      </c>
      <c r="N17" s="54">
        <v>2753.629864</v>
      </c>
      <c r="O17" s="55">
        <v>0.8</v>
      </c>
      <c r="P17" s="17">
        <f t="shared" si="1"/>
        <v>275.36298640000001</v>
      </c>
      <c r="Q17" s="34">
        <f t="shared" si="2"/>
        <v>0.1</v>
      </c>
      <c r="R17" s="17">
        <f t="shared" si="3"/>
        <v>1343.7713736320002</v>
      </c>
      <c r="S17" s="17">
        <f t="shared" si="16"/>
        <v>18057.215045928329</v>
      </c>
      <c r="T17" s="47">
        <f t="shared" si="4"/>
        <v>23811.594548891466</v>
      </c>
      <c r="U17" s="47">
        <f t="shared" si="5"/>
        <v>51.770408163265309</v>
      </c>
      <c r="V17" s="47">
        <f t="shared" si="6"/>
        <v>104028854.49808547</v>
      </c>
      <c r="W17" s="47">
        <f t="shared" si="7"/>
        <v>75946891.498227239</v>
      </c>
      <c r="X17" s="47">
        <f t="shared" si="15"/>
        <v>8714.7513732881234</v>
      </c>
      <c r="Y17" s="47">
        <f t="shared" si="8"/>
        <v>17080.91269164472</v>
      </c>
      <c r="AT17" s="51"/>
      <c r="AU17" s="2"/>
    </row>
    <row r="18" spans="1:47" ht="15">
      <c r="A18" s="2">
        <v>2020</v>
      </c>
      <c r="B18" s="68">
        <v>298</v>
      </c>
      <c r="C18" s="68">
        <v>23</v>
      </c>
      <c r="D18" s="23">
        <f t="shared" si="9"/>
        <v>7.7181208053691275E-2</v>
      </c>
      <c r="E18" s="23">
        <f t="shared" si="10"/>
        <v>2.3981235413152892E-4</v>
      </c>
      <c r="F18" s="23">
        <f t="shared" si="11"/>
        <v>1.5485875956223107E-2</v>
      </c>
      <c r="G18" s="9">
        <v>0.85681944500000007</v>
      </c>
      <c r="H18" s="21">
        <f t="shared" si="12"/>
        <v>9.312777783239128E-4</v>
      </c>
      <c r="I18" s="9">
        <v>3.0516844173733182E-2</v>
      </c>
      <c r="J18" s="13">
        <f t="shared" si="0"/>
        <v>9.0078730710518917E-2</v>
      </c>
      <c r="K18" s="13">
        <f t="shared" si="13"/>
        <v>3.3695079323791251E-4</v>
      </c>
      <c r="L18" s="21">
        <f t="shared" si="14"/>
        <v>1.8356219470193544E-2</v>
      </c>
      <c r="M18" s="19">
        <v>0.61</v>
      </c>
      <c r="N18" s="54">
        <v>2359.4712920000002</v>
      </c>
      <c r="O18" s="55">
        <v>0.8</v>
      </c>
      <c r="P18" s="17">
        <f t="shared" si="1"/>
        <v>235.94712920000003</v>
      </c>
      <c r="Q18" s="34">
        <f t="shared" si="2"/>
        <v>0.1</v>
      </c>
      <c r="R18" s="17">
        <f t="shared" si="3"/>
        <v>1151.421990496</v>
      </c>
      <c r="S18" s="17">
        <f t="shared" si="16"/>
        <v>13257.72600197771</v>
      </c>
      <c r="T18" s="47">
        <f t="shared" si="4"/>
        <v>12300.577230019619</v>
      </c>
      <c r="U18" s="47">
        <f t="shared" si="5"/>
        <v>5.7100694444444446</v>
      </c>
      <c r="V18" s="47">
        <f t="shared" si="6"/>
        <v>9795847.3762581516</v>
      </c>
      <c r="W18" s="47">
        <f t="shared" si="7"/>
        <v>7398783.6970370989</v>
      </c>
      <c r="X18" s="47">
        <f t="shared" si="15"/>
        <v>2720.0705316291155</v>
      </c>
      <c r="Y18" s="47">
        <f t="shared" si="8"/>
        <v>5331.3382419930667</v>
      </c>
      <c r="AT18" s="51"/>
      <c r="AU18" s="2"/>
    </row>
    <row r="19" spans="1:47" ht="15">
      <c r="N19" s="54"/>
      <c r="Q19" s="17"/>
    </row>
    <row r="20" spans="1:47" ht="15" customHeight="1">
      <c r="A20" s="12" t="s">
        <v>20</v>
      </c>
      <c r="B20" s="7"/>
      <c r="C20" s="7"/>
      <c r="D20" s="21"/>
      <c r="E20" s="21"/>
      <c r="F20" s="21"/>
      <c r="G20" s="53"/>
      <c r="H20" s="32"/>
      <c r="I20" s="53"/>
      <c r="J20" s="32"/>
      <c r="K20" s="52"/>
      <c r="L20" s="32"/>
      <c r="M20" s="32"/>
      <c r="N20" s="32"/>
      <c r="O20" s="32"/>
      <c r="P20" s="32"/>
      <c r="Q20" s="17"/>
      <c r="R20" s="36"/>
      <c r="S20" s="32"/>
      <c r="T20" s="25"/>
      <c r="U20" s="26"/>
      <c r="V20" s="26"/>
      <c r="W20" s="26"/>
      <c r="X20" s="26"/>
      <c r="Y20" s="26"/>
      <c r="Z20" s="26"/>
    </row>
    <row r="21" spans="1:47">
      <c r="A21" s="24" t="s">
        <v>19</v>
      </c>
      <c r="B21" s="7"/>
      <c r="C21" s="7"/>
      <c r="D21" s="21"/>
      <c r="E21" s="21"/>
      <c r="F21" s="21"/>
      <c r="G21" s="53"/>
      <c r="H21" s="25"/>
      <c r="I21" s="53"/>
      <c r="J21" s="25"/>
      <c r="K21" s="25"/>
      <c r="L21" s="25"/>
      <c r="M21" s="25"/>
      <c r="N21" s="25"/>
      <c r="O21" s="25"/>
      <c r="P21" s="25"/>
      <c r="Q21" s="25"/>
      <c r="R21" s="37"/>
      <c r="S21" s="25"/>
      <c r="T21" s="25"/>
      <c r="U21" s="26"/>
      <c r="V21" s="26"/>
      <c r="W21" s="26"/>
      <c r="X21" s="26"/>
      <c r="Y21" s="26"/>
      <c r="Z21" s="26"/>
    </row>
    <row r="22" spans="1:47">
      <c r="A22" s="12"/>
      <c r="B22" s="7"/>
      <c r="C22" s="7"/>
      <c r="D22" s="21"/>
      <c r="E22" s="21"/>
      <c r="F22" s="21"/>
      <c r="G22" s="53"/>
      <c r="H22" s="25"/>
      <c r="I22" s="53"/>
      <c r="J22" s="25"/>
      <c r="K22" s="25"/>
      <c r="L22" s="25"/>
      <c r="M22" s="25"/>
      <c r="N22" s="27"/>
      <c r="O22" s="27"/>
      <c r="P22" s="27"/>
      <c r="Q22" s="27"/>
      <c r="R22" s="38"/>
      <c r="S22" s="25"/>
      <c r="T22" s="25"/>
      <c r="U22" s="48"/>
      <c r="V22" s="26"/>
      <c r="W22" s="26"/>
      <c r="X22" s="26"/>
      <c r="Y22" s="26"/>
      <c r="Z22" s="26"/>
    </row>
    <row r="23" spans="1:47" ht="16">
      <c r="A23" s="31"/>
      <c r="B23" s="4"/>
      <c r="C23" s="4"/>
      <c r="D23" s="21"/>
      <c r="E23" s="21"/>
      <c r="F23" s="21"/>
      <c r="G23" s="53"/>
      <c r="H23" s="25"/>
      <c r="I23" s="53"/>
      <c r="J23" s="25"/>
      <c r="K23" s="25"/>
      <c r="L23" s="25"/>
      <c r="M23" s="26"/>
      <c r="N23" s="25"/>
      <c r="O23" s="25"/>
      <c r="P23" s="25"/>
      <c r="Q23" s="25"/>
      <c r="R23" s="37"/>
      <c r="S23" s="26"/>
      <c r="T23" s="26"/>
      <c r="U23" s="26"/>
      <c r="V23" s="26"/>
      <c r="W23" s="26"/>
      <c r="X23" s="26"/>
      <c r="Y23" s="26"/>
      <c r="Z23" s="26"/>
    </row>
    <row r="24" spans="1:47">
      <c r="A24" s="12"/>
      <c r="B24" s="4"/>
      <c r="C24" s="4"/>
      <c r="D24" s="21"/>
      <c r="E24" s="21"/>
      <c r="F24" s="21"/>
      <c r="G24" s="25"/>
      <c r="H24" s="25"/>
      <c r="I24" s="25"/>
      <c r="J24" s="25"/>
      <c r="K24" s="25"/>
      <c r="L24" s="25"/>
      <c r="M24" s="26"/>
      <c r="N24" s="26"/>
      <c r="O24" s="26"/>
      <c r="P24" s="26"/>
      <c r="Q24" s="26"/>
      <c r="R24" s="39"/>
      <c r="S24" s="26"/>
      <c r="T24" s="26"/>
      <c r="U24" s="26"/>
      <c r="V24" s="26"/>
      <c r="W24" s="26"/>
      <c r="X24" s="26"/>
      <c r="Y24" s="26"/>
      <c r="Z24" s="26"/>
    </row>
    <row r="25" spans="1:47">
      <c r="A25" s="12"/>
      <c r="B25" s="4"/>
      <c r="C25" s="4"/>
      <c r="D25" s="21"/>
      <c r="E25" s="21"/>
      <c r="F25" s="21"/>
      <c r="G25" s="25"/>
      <c r="H25" s="25"/>
      <c r="I25" s="25"/>
      <c r="J25" s="25"/>
      <c r="K25" s="25"/>
      <c r="L25" s="25"/>
      <c r="M25" s="26"/>
      <c r="N25" s="26"/>
      <c r="O25" s="26"/>
      <c r="P25" s="26"/>
      <c r="Q25" s="26"/>
      <c r="R25" s="39"/>
      <c r="S25" s="26"/>
      <c r="T25" s="26"/>
      <c r="U25" s="26"/>
      <c r="V25" s="26"/>
      <c r="W25" s="26"/>
      <c r="X25" s="26"/>
      <c r="Y25" s="26"/>
      <c r="Z25" s="26"/>
    </row>
    <row r="26" spans="1:47">
      <c r="A26" s="12"/>
      <c r="B26" s="4"/>
      <c r="C26" s="4"/>
      <c r="D26" s="21"/>
      <c r="E26" s="21"/>
      <c r="F26" s="21"/>
      <c r="G26" s="25"/>
      <c r="H26" s="25"/>
      <c r="I26" s="25"/>
      <c r="J26" s="25"/>
      <c r="K26" s="25"/>
      <c r="L26" s="25"/>
      <c r="M26" s="26"/>
      <c r="N26" s="26"/>
      <c r="O26" s="26"/>
      <c r="P26" s="26"/>
      <c r="Q26" s="26"/>
      <c r="R26" s="39"/>
      <c r="S26" s="26"/>
      <c r="T26" s="26"/>
      <c r="U26" s="26"/>
      <c r="V26" s="26"/>
      <c r="W26" s="26"/>
      <c r="X26" s="26"/>
      <c r="Y26" s="26"/>
      <c r="Z26" s="26"/>
    </row>
    <row r="27" spans="1:47">
      <c r="A27" s="12"/>
      <c r="B27" s="4"/>
      <c r="C27" s="4"/>
      <c r="D27" s="21"/>
      <c r="E27" s="21"/>
      <c r="F27" s="21"/>
      <c r="G27" s="25"/>
      <c r="H27" s="25"/>
      <c r="I27" s="25"/>
      <c r="J27" s="25"/>
      <c r="K27" s="25"/>
      <c r="L27" s="25"/>
      <c r="M27" s="26"/>
      <c r="N27" s="26"/>
      <c r="O27" s="26"/>
      <c r="P27" s="26"/>
      <c r="Q27" s="26"/>
      <c r="R27" s="39"/>
      <c r="S27" s="26"/>
      <c r="T27" s="26"/>
      <c r="U27" s="26"/>
      <c r="V27" s="26"/>
      <c r="W27" s="26"/>
      <c r="X27" s="26"/>
      <c r="Y27" s="26"/>
      <c r="Z27" s="26"/>
    </row>
    <row r="28" spans="1:47">
      <c r="A28" s="12"/>
      <c r="B28" s="4"/>
      <c r="C28" s="4"/>
      <c r="D28" s="21"/>
      <c r="E28" s="21"/>
      <c r="F28" s="21"/>
      <c r="G28" s="25"/>
      <c r="H28" s="25"/>
      <c r="I28" s="25"/>
      <c r="J28" s="25"/>
      <c r="K28" s="25"/>
      <c r="L28" s="25"/>
      <c r="M28" s="26"/>
      <c r="N28" s="26"/>
      <c r="O28" s="26"/>
      <c r="P28" s="26"/>
      <c r="Q28" s="26"/>
      <c r="R28" s="39"/>
      <c r="S28" s="26"/>
      <c r="T28" s="26"/>
      <c r="U28" s="26"/>
      <c r="V28" s="26"/>
      <c r="W28" s="26"/>
      <c r="X28" s="26"/>
      <c r="Y28" s="26"/>
      <c r="Z28" s="26"/>
    </row>
    <row r="29" spans="1:47" ht="16">
      <c r="A29" s="31"/>
      <c r="B29" s="4"/>
      <c r="C29" s="4"/>
      <c r="D29" s="21"/>
      <c r="E29" s="21"/>
      <c r="F29" s="21"/>
      <c r="G29" s="25"/>
      <c r="H29" s="25"/>
      <c r="I29" s="25"/>
      <c r="J29" s="25"/>
      <c r="K29" s="25"/>
      <c r="L29" s="25"/>
      <c r="M29" s="26"/>
      <c r="N29" s="26"/>
      <c r="O29" s="26"/>
      <c r="P29" s="26"/>
      <c r="Q29" s="26"/>
      <c r="R29" s="39"/>
      <c r="S29" s="26"/>
      <c r="T29" s="26"/>
      <c r="U29" s="26"/>
      <c r="V29" s="26"/>
      <c r="W29" s="26"/>
      <c r="X29" s="26"/>
      <c r="Y29" s="26"/>
      <c r="Z29" s="26"/>
    </row>
    <row r="30" spans="1:47">
      <c r="A30" s="12"/>
      <c r="B30" s="4"/>
      <c r="C30" s="4"/>
      <c r="D30" s="64"/>
      <c r="E30" s="21"/>
      <c r="F30" s="21"/>
      <c r="G30" s="25"/>
      <c r="H30" s="58"/>
      <c r="I30" s="25"/>
      <c r="J30" s="25"/>
      <c r="K30" s="25"/>
      <c r="L30" s="25"/>
      <c r="M30" s="26"/>
      <c r="N30" s="26"/>
      <c r="O30" s="26"/>
      <c r="P30" s="26"/>
      <c r="Q30" s="26"/>
      <c r="R30" s="39"/>
      <c r="S30" s="26"/>
      <c r="T30" s="26"/>
      <c r="U30" s="26"/>
      <c r="V30" s="26"/>
      <c r="W30" s="26"/>
      <c r="X30" s="26"/>
      <c r="Y30" s="26"/>
      <c r="Z30" s="26"/>
    </row>
    <row r="31" spans="1:47" ht="15">
      <c r="A31" s="11"/>
      <c r="D31"/>
      <c r="E31"/>
      <c r="F31"/>
      <c r="G31"/>
      <c r="H31" s="48"/>
      <c r="I31" s="26"/>
      <c r="J31" s="25"/>
      <c r="K31" s="25"/>
      <c r="L31" s="26"/>
      <c r="M31" s="26"/>
      <c r="N31" s="26"/>
      <c r="O31" s="26"/>
      <c r="P31" s="26"/>
      <c r="Q31" s="26"/>
      <c r="R31" s="39"/>
      <c r="S31" s="26"/>
      <c r="T31" s="26"/>
      <c r="U31" s="26"/>
      <c r="V31" s="26"/>
      <c r="W31" s="26"/>
      <c r="X31" s="26"/>
      <c r="Y31" s="26"/>
      <c r="Z31" s="26"/>
    </row>
    <row r="32" spans="1:47">
      <c r="A32" s="11"/>
      <c r="D32" s="65"/>
      <c r="E32" s="65"/>
      <c r="F32" s="65"/>
      <c r="G32" s="65"/>
      <c r="H32" s="48"/>
      <c r="I32" s="26"/>
      <c r="J32" s="25"/>
      <c r="K32" s="25"/>
      <c r="L32" s="26"/>
      <c r="M32" s="26"/>
      <c r="N32" s="26"/>
      <c r="O32" s="26"/>
      <c r="P32" s="26"/>
      <c r="Q32" s="26"/>
      <c r="R32" s="39"/>
      <c r="S32" s="26"/>
      <c r="T32" s="26"/>
      <c r="U32" s="26"/>
      <c r="V32" s="26"/>
      <c r="W32" s="26"/>
      <c r="X32" s="26"/>
      <c r="Y32" s="26"/>
      <c r="Z32" s="26"/>
    </row>
    <row r="33" spans="1:26">
      <c r="A33" s="11"/>
      <c r="D33" s="65"/>
      <c r="E33" s="65"/>
      <c r="F33" s="65"/>
      <c r="G33" s="65"/>
      <c r="H33" s="48"/>
      <c r="I33" s="26"/>
      <c r="J33" s="25"/>
      <c r="K33" s="25"/>
      <c r="L33" s="26"/>
      <c r="M33" s="26"/>
      <c r="N33" s="26"/>
      <c r="O33" s="26"/>
      <c r="P33" s="26"/>
      <c r="Q33" s="26"/>
      <c r="R33" s="39"/>
      <c r="S33" s="26"/>
      <c r="T33" s="26"/>
      <c r="U33" s="26"/>
      <c r="V33" s="26"/>
      <c r="W33" s="26"/>
      <c r="X33" s="26"/>
      <c r="Y33" s="26"/>
      <c r="Z33" s="26"/>
    </row>
    <row r="34" spans="1:26">
      <c r="A34" s="11"/>
      <c r="D34" s="65"/>
      <c r="E34" s="65"/>
      <c r="F34" s="65"/>
      <c r="G34" s="65"/>
      <c r="H34" s="65"/>
      <c r="I34" s="26"/>
      <c r="J34" s="25"/>
      <c r="K34" s="25"/>
      <c r="L34" s="26"/>
      <c r="M34" s="26"/>
      <c r="N34" s="26"/>
      <c r="O34" s="26"/>
      <c r="P34" s="26"/>
      <c r="Q34" s="26"/>
      <c r="R34" s="39"/>
      <c r="S34" s="26"/>
      <c r="T34" s="26"/>
      <c r="U34" s="26"/>
      <c r="V34" s="26"/>
      <c r="W34" s="26"/>
      <c r="X34" s="26"/>
      <c r="Y34" s="26"/>
      <c r="Z34" s="26"/>
    </row>
    <row r="35" spans="1:26">
      <c r="D35" s="65"/>
      <c r="E35" s="65"/>
      <c r="F35" s="65"/>
      <c r="G35" s="65"/>
      <c r="H35" s="65"/>
      <c r="I35" s="26"/>
      <c r="J35" s="25"/>
      <c r="K35" s="25"/>
      <c r="L35" s="57"/>
      <c r="M35" s="26"/>
      <c r="N35" s="58"/>
      <c r="O35" s="26"/>
      <c r="P35" s="26"/>
      <c r="Q35" s="26"/>
      <c r="R35" s="39"/>
      <c r="S35" s="26"/>
      <c r="T35" s="26"/>
      <c r="U35" s="26"/>
      <c r="V35" s="26"/>
      <c r="W35" s="26"/>
      <c r="X35" s="26"/>
      <c r="Y35" s="26"/>
      <c r="Z35" s="26"/>
    </row>
    <row r="36" spans="1:26">
      <c r="D36" s="65"/>
      <c r="E36" s="65"/>
      <c r="F36" s="65"/>
      <c r="G36" s="65"/>
      <c r="H36" s="65"/>
      <c r="I36" s="26"/>
      <c r="J36" s="25"/>
      <c r="K36" s="25"/>
      <c r="L36" s="26"/>
      <c r="M36" s="26"/>
      <c r="N36" s="48"/>
      <c r="O36" s="26"/>
      <c r="P36" s="26"/>
      <c r="Q36" s="26"/>
      <c r="R36" s="39"/>
      <c r="S36" s="26"/>
      <c r="T36" s="26"/>
      <c r="U36" s="26"/>
      <c r="V36" s="26"/>
      <c r="W36" s="26"/>
      <c r="X36" s="26"/>
      <c r="Y36" s="26"/>
      <c r="Z36" s="26"/>
    </row>
    <row r="37" spans="1:26">
      <c r="D37" s="65"/>
      <c r="E37" s="65"/>
      <c r="F37" s="65"/>
      <c r="G37" s="65"/>
      <c r="H37" s="65"/>
      <c r="I37" s="26"/>
      <c r="J37" s="25"/>
      <c r="K37" s="25"/>
      <c r="L37" s="26"/>
      <c r="M37" s="26"/>
      <c r="N37" s="48"/>
      <c r="O37" s="26"/>
      <c r="P37" s="26"/>
      <c r="Q37" s="26"/>
      <c r="R37" s="39"/>
      <c r="S37" s="26"/>
      <c r="T37" s="26"/>
      <c r="U37" s="26"/>
      <c r="V37" s="26"/>
      <c r="W37" s="26"/>
      <c r="X37" s="26"/>
      <c r="Y37" s="26"/>
      <c r="Z37" s="26"/>
    </row>
    <row r="38" spans="1:26">
      <c r="D38" s="65"/>
      <c r="E38" s="65"/>
      <c r="F38" s="65"/>
      <c r="G38" s="65"/>
      <c r="H38" s="65"/>
      <c r="I38" s="26"/>
      <c r="J38" s="25"/>
      <c r="K38" s="25"/>
      <c r="L38" s="26"/>
      <c r="M38" s="26"/>
      <c r="N38" s="48"/>
      <c r="O38" s="26"/>
      <c r="P38" s="26"/>
      <c r="Q38" s="26"/>
      <c r="R38" s="39"/>
      <c r="S38" s="26"/>
      <c r="T38" s="26"/>
      <c r="U38" s="26"/>
      <c r="V38" s="26"/>
      <c r="W38" s="26"/>
      <c r="X38" s="26"/>
      <c r="Y38" s="26"/>
      <c r="Z38" s="26"/>
    </row>
    <row r="39" spans="1:26">
      <c r="D39" s="65"/>
      <c r="E39" s="65"/>
      <c r="F39" s="65"/>
      <c r="G39" s="65"/>
      <c r="H39" s="65"/>
      <c r="I39" s="26"/>
      <c r="J39" s="25"/>
      <c r="K39" s="25"/>
      <c r="L39" s="26"/>
      <c r="M39" s="26"/>
      <c r="N39" s="26"/>
      <c r="O39" s="26"/>
      <c r="P39" s="26"/>
      <c r="Q39" s="26"/>
      <c r="R39" s="39"/>
      <c r="S39" s="26"/>
      <c r="T39" s="26"/>
      <c r="U39" s="26"/>
      <c r="V39" s="26"/>
      <c r="W39" s="26"/>
      <c r="X39" s="26"/>
      <c r="Y39" s="26"/>
      <c r="Z39" s="26"/>
    </row>
    <row r="40" spans="1:26">
      <c r="D40" s="65"/>
      <c r="E40" s="65"/>
      <c r="F40" s="65"/>
      <c r="G40" s="65"/>
      <c r="H40" s="65"/>
      <c r="I40" s="26"/>
      <c r="J40" s="25"/>
      <c r="K40" s="25"/>
      <c r="L40" s="26"/>
      <c r="M40" s="26"/>
      <c r="N40" s="26"/>
      <c r="O40" s="26"/>
      <c r="P40" s="26"/>
      <c r="Q40" s="26"/>
      <c r="R40" s="39"/>
      <c r="S40" s="26"/>
      <c r="T40" s="26"/>
      <c r="U40" s="26"/>
      <c r="V40" s="26"/>
      <c r="W40" s="26"/>
      <c r="X40" s="26"/>
      <c r="Y40" s="26"/>
      <c r="Z40" s="26"/>
    </row>
    <row r="41" spans="1:26" ht="15">
      <c r="D41" s="65"/>
      <c r="E41" s="65"/>
      <c r="F41" s="65"/>
      <c r="G41" s="65"/>
      <c r="H41"/>
      <c r="I41" s="26"/>
      <c r="J41" s="25"/>
      <c r="K41" s="25"/>
      <c r="L41" s="26"/>
      <c r="M41" s="26"/>
      <c r="N41" s="26"/>
      <c r="O41" s="26"/>
      <c r="P41" s="26"/>
      <c r="Q41" s="26"/>
      <c r="R41" s="39"/>
      <c r="S41" s="26"/>
      <c r="T41" s="26"/>
      <c r="U41" s="26"/>
      <c r="V41" s="26"/>
      <c r="W41" s="26"/>
      <c r="X41" s="26"/>
      <c r="Y41" s="26"/>
      <c r="Z41" s="26"/>
    </row>
    <row r="42" spans="1:26" ht="15">
      <c r="D42" s="65"/>
      <c r="E42" s="65"/>
      <c r="F42" s="65"/>
      <c r="G42" s="65"/>
      <c r="H42"/>
      <c r="I42" s="26"/>
      <c r="J42" s="25"/>
      <c r="K42" s="25"/>
      <c r="L42" s="26"/>
      <c r="M42" s="26"/>
      <c r="N42" s="26"/>
      <c r="O42" s="26"/>
      <c r="P42" s="26"/>
      <c r="Q42" s="26"/>
      <c r="R42" s="39"/>
      <c r="S42" s="26"/>
      <c r="T42" s="26"/>
      <c r="U42" s="26"/>
      <c r="V42" s="26"/>
      <c r="W42" s="26"/>
      <c r="X42" s="26"/>
      <c r="Y42" s="26"/>
      <c r="Z42" s="26"/>
    </row>
    <row r="43" spans="1:26">
      <c r="D43" s="65"/>
      <c r="E43" s="65"/>
      <c r="F43" s="65"/>
      <c r="G43" s="65"/>
      <c r="H43" s="65"/>
      <c r="I43" s="26"/>
      <c r="J43" s="25"/>
      <c r="K43" s="25"/>
      <c r="L43" s="26"/>
      <c r="M43" s="26"/>
      <c r="N43" s="26"/>
      <c r="O43" s="26"/>
      <c r="P43" s="26"/>
      <c r="Q43" s="26"/>
      <c r="R43" s="39"/>
      <c r="S43" s="26"/>
      <c r="T43" s="26"/>
      <c r="U43" s="26"/>
      <c r="V43" s="26"/>
      <c r="W43" s="26"/>
      <c r="X43" s="26"/>
      <c r="Y43" s="26"/>
      <c r="Z43" s="26"/>
    </row>
    <row r="44" spans="1:26">
      <c r="D44" s="65"/>
      <c r="E44" s="65"/>
      <c r="F44" s="65"/>
      <c r="G44" s="65"/>
      <c r="H44" s="65"/>
      <c r="I44" s="26"/>
      <c r="J44" s="25"/>
      <c r="K44" s="25"/>
      <c r="L44" s="26"/>
      <c r="M44" s="26"/>
      <c r="N44" s="26"/>
      <c r="O44" s="26"/>
      <c r="P44" s="26"/>
      <c r="Q44" s="26"/>
      <c r="R44" s="39"/>
      <c r="S44" s="26"/>
      <c r="T44" s="26"/>
      <c r="U44" s="26"/>
      <c r="V44" s="26"/>
      <c r="W44" s="26"/>
      <c r="X44" s="26"/>
      <c r="Y44" s="26"/>
      <c r="Z44" s="26"/>
    </row>
    <row r="45" spans="1:26">
      <c r="D45" s="65"/>
      <c r="E45" s="65"/>
      <c r="F45" s="65"/>
      <c r="G45" s="65"/>
      <c r="H45" s="65"/>
      <c r="I45" s="26"/>
      <c r="J45" s="25"/>
      <c r="K45" s="25"/>
      <c r="L45" s="26"/>
      <c r="M45" s="26"/>
      <c r="N45" s="26"/>
      <c r="O45" s="26"/>
      <c r="P45" s="26"/>
      <c r="Q45" s="26"/>
      <c r="R45" s="39"/>
      <c r="S45" s="26"/>
      <c r="T45" s="26"/>
      <c r="U45" s="26"/>
      <c r="V45" s="26"/>
      <c r="W45" s="26"/>
      <c r="X45" s="26"/>
      <c r="Y45" s="26"/>
      <c r="Z45" s="26"/>
    </row>
    <row r="46" spans="1:26">
      <c r="D46" s="65"/>
      <c r="E46" s="65"/>
      <c r="F46" s="65"/>
      <c r="G46" s="65"/>
      <c r="H46" s="65"/>
      <c r="I46" s="26"/>
      <c r="J46" s="25"/>
      <c r="K46" s="25"/>
      <c r="L46" s="26"/>
      <c r="M46" s="26"/>
      <c r="N46" s="26"/>
      <c r="O46" s="26"/>
      <c r="P46" s="26"/>
      <c r="Q46" s="26"/>
      <c r="R46" s="39"/>
      <c r="S46" s="26"/>
      <c r="T46" s="26"/>
      <c r="U46" s="26"/>
      <c r="V46" s="26"/>
      <c r="W46" s="26"/>
      <c r="X46" s="26"/>
      <c r="Y46" s="26"/>
      <c r="Z46" s="26"/>
    </row>
    <row r="47" spans="1:26">
      <c r="D47" s="65"/>
      <c r="E47" s="65"/>
      <c r="F47" s="65"/>
      <c r="G47" s="65"/>
      <c r="H47" s="65"/>
      <c r="I47" s="26"/>
      <c r="J47" s="25"/>
      <c r="K47" s="25"/>
      <c r="L47" s="26"/>
      <c r="M47" s="26"/>
      <c r="N47" s="26"/>
      <c r="O47" s="26"/>
      <c r="P47" s="26"/>
      <c r="Q47" s="26"/>
      <c r="R47" s="39"/>
      <c r="S47" s="26"/>
      <c r="T47" s="26"/>
      <c r="U47" s="26"/>
      <c r="V47" s="26"/>
      <c r="W47" s="26"/>
      <c r="X47" s="26"/>
      <c r="Y47" s="26"/>
      <c r="Z47" s="26"/>
    </row>
    <row r="48" spans="1:26" ht="15">
      <c r="G48" s="26"/>
      <c r="H48"/>
      <c r="I48" s="26"/>
      <c r="J48" s="25"/>
      <c r="K48" s="25"/>
      <c r="L48" s="26"/>
      <c r="M48" s="26"/>
      <c r="N48" s="26"/>
      <c r="O48" s="26"/>
      <c r="P48" s="26"/>
      <c r="Q48" s="26"/>
      <c r="R48" s="39"/>
      <c r="S48" s="26"/>
      <c r="T48" s="26"/>
      <c r="U48" s="26"/>
      <c r="V48" s="26"/>
      <c r="W48" s="26"/>
      <c r="X48" s="26"/>
      <c r="Y48" s="26"/>
      <c r="Z48" s="26"/>
    </row>
    <row r="49" spans="7:26">
      <c r="G49" s="26"/>
      <c r="H49" s="26"/>
      <c r="I49" s="26"/>
      <c r="J49" s="25"/>
      <c r="K49" s="25"/>
      <c r="L49" s="26"/>
      <c r="M49" s="26"/>
      <c r="N49" s="26"/>
      <c r="O49" s="26"/>
      <c r="P49" s="26"/>
      <c r="Q49" s="26"/>
      <c r="R49" s="39"/>
      <c r="S49" s="26"/>
      <c r="T49" s="26"/>
      <c r="U49" s="26"/>
      <c r="V49" s="26"/>
      <c r="W49" s="26"/>
      <c r="X49" s="26"/>
      <c r="Y49" s="26"/>
      <c r="Z49" s="26"/>
    </row>
    <row r="50" spans="7:26">
      <c r="G50" s="26"/>
      <c r="H50" s="26"/>
      <c r="I50" s="26"/>
      <c r="J50" s="25"/>
      <c r="K50" s="25"/>
      <c r="L50" s="26"/>
      <c r="M50" s="26"/>
      <c r="N50" s="26"/>
      <c r="O50" s="26"/>
      <c r="P50" s="26"/>
      <c r="Q50" s="26"/>
      <c r="R50" s="39"/>
      <c r="S50" s="26"/>
      <c r="T50" s="26"/>
      <c r="U50" s="26"/>
      <c r="V50" s="26"/>
      <c r="W50" s="26"/>
      <c r="X50" s="26"/>
      <c r="Y50" s="26"/>
      <c r="Z50" s="26"/>
    </row>
    <row r="51" spans="7:26">
      <c r="G51" s="26"/>
      <c r="H51" s="26"/>
      <c r="I51" s="26"/>
      <c r="J51" s="25"/>
      <c r="K51" s="25"/>
      <c r="L51" s="26"/>
      <c r="M51" s="26"/>
      <c r="N51" s="26"/>
      <c r="O51" s="26"/>
      <c r="P51" s="26"/>
      <c r="Q51" s="26"/>
      <c r="R51" s="39"/>
      <c r="S51" s="26"/>
      <c r="T51" s="26"/>
      <c r="U51" s="26"/>
      <c r="V51" s="26"/>
      <c r="W51" s="26"/>
      <c r="X51" s="26"/>
      <c r="Y51" s="26"/>
      <c r="Z51" s="26"/>
    </row>
    <row r="52" spans="7:26">
      <c r="G52" s="26"/>
      <c r="H52" s="26"/>
      <c r="I52" s="26"/>
      <c r="J52" s="25"/>
      <c r="K52" s="25"/>
      <c r="L52" s="26"/>
      <c r="M52" s="26"/>
      <c r="N52" s="26"/>
      <c r="O52" s="26"/>
      <c r="P52" s="26"/>
      <c r="Q52" s="26"/>
      <c r="R52" s="39"/>
      <c r="S52" s="26"/>
      <c r="T52" s="26"/>
      <c r="U52" s="26"/>
      <c r="V52" s="26"/>
      <c r="W52" s="26"/>
      <c r="X52" s="26"/>
      <c r="Y52" s="26"/>
      <c r="Z52" s="26"/>
    </row>
    <row r="53" spans="7:26">
      <c r="G53" s="26"/>
      <c r="H53" s="26"/>
      <c r="I53" s="26"/>
      <c r="J53" s="25"/>
      <c r="K53" s="25"/>
      <c r="L53" s="26"/>
      <c r="M53" s="26"/>
      <c r="N53" s="26"/>
      <c r="O53" s="26"/>
      <c r="P53" s="26"/>
      <c r="Q53" s="26"/>
      <c r="R53" s="39"/>
      <c r="S53" s="26"/>
      <c r="T53" s="26"/>
      <c r="U53" s="26"/>
      <c r="V53" s="26"/>
      <c r="W53" s="26"/>
      <c r="X53" s="26"/>
      <c r="Y53" s="26"/>
      <c r="Z53" s="26"/>
    </row>
    <row r="54" spans="7:26">
      <c r="G54" s="26"/>
      <c r="H54" s="26"/>
      <c r="I54" s="26"/>
      <c r="J54" s="25"/>
      <c r="K54" s="25"/>
      <c r="L54" s="26"/>
      <c r="M54" s="26"/>
      <c r="N54" s="26"/>
      <c r="O54" s="26"/>
      <c r="P54" s="26"/>
      <c r="Q54" s="26"/>
      <c r="R54" s="39"/>
      <c r="S54" s="26"/>
      <c r="T54" s="26"/>
      <c r="U54" s="26"/>
      <c r="V54" s="26"/>
      <c r="W54" s="26"/>
      <c r="X54" s="26"/>
      <c r="Y54" s="26"/>
      <c r="Z54" s="26"/>
    </row>
    <row r="55" spans="7:26">
      <c r="G55" s="26"/>
      <c r="H55" s="26"/>
      <c r="I55" s="26"/>
      <c r="J55" s="25"/>
      <c r="K55" s="25"/>
      <c r="L55" s="26"/>
      <c r="M55" s="26"/>
      <c r="N55" s="26"/>
      <c r="O55" s="26"/>
      <c r="P55" s="26"/>
      <c r="Q55" s="26"/>
      <c r="R55" s="39"/>
      <c r="S55" s="26"/>
      <c r="T55" s="26"/>
      <c r="U55" s="26"/>
      <c r="V55" s="26"/>
      <c r="W55" s="26"/>
      <c r="X55" s="26"/>
      <c r="Y55" s="26"/>
      <c r="Z55" s="26"/>
    </row>
    <row r="56" spans="7:26">
      <c r="G56" s="26"/>
      <c r="H56" s="26"/>
      <c r="I56" s="26"/>
      <c r="J56" s="25"/>
      <c r="K56" s="25"/>
      <c r="L56" s="26"/>
      <c r="M56" s="26"/>
      <c r="N56" s="26"/>
      <c r="O56" s="26"/>
      <c r="P56" s="26"/>
      <c r="Q56" s="26"/>
      <c r="R56" s="39"/>
      <c r="S56" s="26"/>
      <c r="T56" s="26"/>
      <c r="U56" s="26"/>
      <c r="V56" s="26"/>
      <c r="W56" s="26"/>
      <c r="X56" s="26"/>
      <c r="Y56" s="26"/>
      <c r="Z56" s="26"/>
    </row>
    <row r="57" spans="7:26">
      <c r="G57" s="26"/>
      <c r="H57" s="26"/>
      <c r="I57" s="26"/>
      <c r="J57" s="25"/>
      <c r="K57" s="25"/>
      <c r="L57" s="26"/>
      <c r="M57" s="26"/>
      <c r="N57" s="26"/>
      <c r="O57" s="26"/>
      <c r="P57" s="26"/>
      <c r="Q57" s="26"/>
      <c r="R57" s="39"/>
      <c r="S57" s="26"/>
      <c r="T57" s="26"/>
      <c r="U57" s="26"/>
      <c r="V57" s="26"/>
      <c r="W57" s="26"/>
      <c r="X57" s="26"/>
      <c r="Y57" s="26"/>
      <c r="Z57" s="26"/>
    </row>
    <row r="58" spans="7:26">
      <c r="G58" s="26"/>
      <c r="H58" s="26"/>
      <c r="I58" s="26"/>
      <c r="J58" s="25"/>
      <c r="K58" s="25"/>
      <c r="L58" s="26"/>
      <c r="M58" s="26"/>
      <c r="N58" s="26"/>
      <c r="O58" s="26"/>
      <c r="P58" s="26"/>
      <c r="Q58" s="26"/>
      <c r="R58" s="39"/>
      <c r="S58" s="26"/>
      <c r="T58" s="26"/>
      <c r="U58" s="26"/>
      <c r="V58" s="26"/>
      <c r="W58" s="26"/>
      <c r="X58" s="26"/>
      <c r="Y58" s="26"/>
      <c r="Z58" s="26"/>
    </row>
    <row r="59" spans="7:26">
      <c r="G59" s="26"/>
      <c r="H59" s="26"/>
      <c r="I59" s="26"/>
      <c r="J59" s="25"/>
      <c r="K59" s="25"/>
      <c r="L59" s="26"/>
      <c r="M59" s="26"/>
      <c r="N59" s="26"/>
      <c r="O59" s="26"/>
      <c r="P59" s="26"/>
      <c r="Q59" s="26"/>
      <c r="R59" s="39"/>
      <c r="S59" s="26"/>
      <c r="T59" s="26"/>
      <c r="U59" s="26"/>
      <c r="V59" s="26"/>
      <c r="W59" s="26"/>
      <c r="X59" s="26"/>
      <c r="Y59" s="26"/>
      <c r="Z59" s="26"/>
    </row>
    <row r="60" spans="7:26">
      <c r="G60" s="26"/>
      <c r="H60" s="26"/>
      <c r="I60" s="26"/>
      <c r="J60" s="25"/>
      <c r="K60" s="25"/>
      <c r="L60" s="26"/>
      <c r="M60" s="26"/>
      <c r="N60" s="26"/>
      <c r="O60" s="26"/>
      <c r="P60" s="26"/>
      <c r="Q60" s="26"/>
      <c r="R60" s="39"/>
      <c r="S60" s="26"/>
      <c r="T60" s="26"/>
      <c r="U60" s="26"/>
      <c r="V60" s="26"/>
      <c r="W60" s="26"/>
      <c r="X60" s="26"/>
      <c r="Y60" s="26"/>
      <c r="Z60" s="26"/>
    </row>
    <row r="61" spans="7:26">
      <c r="G61" s="26"/>
      <c r="H61" s="26"/>
      <c r="I61" s="26"/>
      <c r="J61" s="25"/>
      <c r="K61" s="25"/>
      <c r="L61" s="26"/>
      <c r="M61" s="26"/>
      <c r="N61" s="26"/>
      <c r="O61" s="26"/>
      <c r="P61" s="26"/>
      <c r="Q61" s="26"/>
      <c r="R61" s="39"/>
      <c r="S61" s="26"/>
      <c r="T61" s="26"/>
      <c r="U61" s="26"/>
      <c r="V61" s="26"/>
      <c r="W61" s="26"/>
      <c r="X61" s="26"/>
      <c r="Y61" s="26"/>
      <c r="Z61" s="26"/>
    </row>
    <row r="62" spans="7:26">
      <c r="G62" s="26"/>
      <c r="H62" s="26"/>
      <c r="I62" s="26"/>
      <c r="J62" s="25"/>
      <c r="K62" s="25"/>
      <c r="L62" s="26"/>
      <c r="M62" s="26"/>
      <c r="N62" s="26"/>
      <c r="O62" s="26"/>
      <c r="P62" s="26"/>
      <c r="Q62" s="26"/>
      <c r="R62" s="39"/>
      <c r="S62" s="26"/>
      <c r="T62" s="26"/>
      <c r="U62" s="26"/>
      <c r="V62" s="26"/>
      <c r="W62" s="26"/>
      <c r="X62" s="26"/>
      <c r="Y62" s="26"/>
      <c r="Z62" s="26"/>
    </row>
    <row r="63" spans="7:26">
      <c r="G63" s="26"/>
      <c r="H63" s="26"/>
      <c r="I63" s="26"/>
      <c r="J63" s="25"/>
      <c r="K63" s="25"/>
      <c r="L63" s="26"/>
      <c r="M63" s="26"/>
      <c r="N63" s="26"/>
      <c r="O63" s="26"/>
      <c r="P63" s="26"/>
      <c r="Q63" s="26"/>
      <c r="R63" s="39"/>
      <c r="S63" s="26"/>
      <c r="T63" s="26"/>
      <c r="U63" s="26"/>
      <c r="V63" s="26"/>
      <c r="W63" s="26"/>
      <c r="X63" s="26"/>
      <c r="Y63" s="26"/>
      <c r="Z63" s="26"/>
    </row>
    <row r="64" spans="7:26">
      <c r="G64" s="26"/>
      <c r="H64" s="26"/>
      <c r="I64" s="26"/>
      <c r="J64" s="25"/>
      <c r="K64" s="25"/>
      <c r="L64" s="26"/>
      <c r="M64" s="26"/>
      <c r="N64" s="26"/>
      <c r="O64" s="26"/>
      <c r="P64" s="26"/>
      <c r="Q64" s="26"/>
      <c r="R64" s="39"/>
      <c r="S64" s="26"/>
      <c r="T64" s="26"/>
      <c r="U64" s="26"/>
      <c r="V64" s="26"/>
      <c r="W64" s="26"/>
      <c r="X64" s="26"/>
      <c r="Y64" s="26"/>
      <c r="Z64" s="26"/>
    </row>
    <row r="65" spans="7:26">
      <c r="G65" s="26"/>
      <c r="H65" s="26"/>
      <c r="I65" s="26"/>
      <c r="J65" s="25"/>
      <c r="K65" s="25"/>
      <c r="L65" s="26"/>
      <c r="M65" s="26"/>
      <c r="N65" s="26"/>
      <c r="O65" s="26"/>
      <c r="P65" s="26"/>
      <c r="Q65" s="26"/>
      <c r="R65" s="39"/>
      <c r="S65" s="26"/>
      <c r="T65" s="26"/>
      <c r="U65" s="26"/>
      <c r="V65" s="26"/>
      <c r="W65" s="26"/>
      <c r="X65" s="26"/>
      <c r="Y65" s="26"/>
      <c r="Z65" s="26"/>
    </row>
    <row r="66" spans="7:26">
      <c r="G66" s="28"/>
      <c r="H66" s="26"/>
      <c r="I66" s="26"/>
      <c r="J66" s="25"/>
      <c r="K66" s="25"/>
      <c r="L66" s="26"/>
      <c r="M66" s="26"/>
      <c r="N66" s="26"/>
      <c r="O66" s="26"/>
      <c r="P66" s="26"/>
      <c r="Q66" s="26"/>
      <c r="R66" s="39"/>
      <c r="S66" s="26"/>
      <c r="T66" s="26"/>
      <c r="U66" s="26"/>
      <c r="V66" s="26"/>
      <c r="W66" s="26"/>
      <c r="X66" s="26"/>
      <c r="Y66" s="26"/>
      <c r="Z66" s="26"/>
    </row>
    <row r="67" spans="7:26">
      <c r="G67" s="28"/>
      <c r="H67" s="28"/>
      <c r="I67" s="28"/>
      <c r="J67" s="29"/>
      <c r="K67" s="29"/>
      <c r="L67" s="28"/>
      <c r="M67" s="26"/>
      <c r="N67" s="28"/>
      <c r="O67" s="28"/>
      <c r="P67" s="28"/>
      <c r="Q67" s="28"/>
      <c r="R67" s="40"/>
      <c r="S67" s="26"/>
      <c r="T67" s="26"/>
      <c r="U67" s="26"/>
      <c r="V67" s="26"/>
      <c r="W67" s="26"/>
      <c r="X67" s="26"/>
      <c r="Y67" s="26"/>
      <c r="Z67" s="26"/>
    </row>
    <row r="68" spans="7:26">
      <c r="G68" s="26"/>
      <c r="H68" s="28"/>
      <c r="I68" s="28"/>
      <c r="J68" s="29"/>
      <c r="K68" s="29"/>
      <c r="L68" s="28"/>
      <c r="M68" s="26"/>
      <c r="N68" s="28"/>
      <c r="O68" s="28"/>
      <c r="P68" s="28"/>
      <c r="Q68" s="28"/>
      <c r="R68" s="40"/>
      <c r="S68" s="26"/>
      <c r="T68" s="26"/>
      <c r="U68" s="26"/>
      <c r="V68" s="26"/>
      <c r="W68" s="26"/>
      <c r="X68" s="26"/>
      <c r="Y68" s="26"/>
      <c r="Z68" s="26"/>
    </row>
    <row r="69" spans="7:26"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39"/>
      <c r="S69" s="26"/>
      <c r="T69" s="26"/>
      <c r="U69" s="26"/>
      <c r="V69" s="26"/>
      <c r="W69" s="26"/>
      <c r="X69" s="26"/>
      <c r="Y69" s="26"/>
      <c r="Z69" s="26"/>
    </row>
    <row r="70" spans="7:26"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39"/>
      <c r="S70" s="26"/>
      <c r="T70" s="26"/>
      <c r="U70" s="26"/>
      <c r="V70" s="26"/>
      <c r="W70" s="26"/>
      <c r="X70" s="26"/>
      <c r="Y70" s="26"/>
      <c r="Z70" s="26"/>
    </row>
    <row r="71" spans="7:26"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39"/>
      <c r="S71" s="26"/>
      <c r="T71" s="26"/>
      <c r="U71" s="26"/>
      <c r="V71" s="26"/>
      <c r="W71" s="26"/>
      <c r="X71" s="26"/>
      <c r="Y71" s="26"/>
      <c r="Z71" s="26"/>
    </row>
    <row r="72" spans="7:26"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39"/>
      <c r="S72" s="26"/>
      <c r="T72" s="26"/>
      <c r="U72" s="26"/>
      <c r="V72" s="26"/>
      <c r="W72" s="26"/>
      <c r="X72" s="26"/>
      <c r="Y72" s="26"/>
      <c r="Z72" s="26"/>
    </row>
    <row r="73" spans="7:26"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39"/>
      <c r="S73" s="26"/>
      <c r="T73" s="26"/>
      <c r="U73" s="26"/>
      <c r="V73" s="26"/>
      <c r="W73" s="26"/>
      <c r="X73" s="26"/>
      <c r="Y73" s="26"/>
      <c r="Z73" s="26"/>
    </row>
    <row r="74" spans="7:26"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39"/>
      <c r="S74" s="26"/>
      <c r="T74" s="26"/>
      <c r="U74" s="26"/>
      <c r="V74" s="26"/>
      <c r="W74" s="26"/>
      <c r="X74" s="26"/>
      <c r="Y74" s="26"/>
      <c r="Z74" s="26"/>
    </row>
    <row r="75" spans="7:26"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39"/>
      <c r="S75" s="26"/>
      <c r="T75" s="26"/>
      <c r="U75" s="26"/>
      <c r="V75" s="26"/>
      <c r="W75" s="26"/>
      <c r="X75" s="26"/>
      <c r="Y75" s="26"/>
      <c r="Z75" s="26"/>
    </row>
    <row r="76" spans="7:26"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39"/>
      <c r="S76" s="26"/>
      <c r="T76" s="26"/>
      <c r="U76" s="26"/>
      <c r="V76" s="26"/>
      <c r="W76" s="26"/>
      <c r="X76" s="26"/>
      <c r="Y76" s="26"/>
      <c r="Z76" s="26"/>
    </row>
    <row r="77" spans="7:26"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39"/>
      <c r="S77" s="26"/>
      <c r="T77" s="26"/>
      <c r="U77" s="26"/>
      <c r="V77" s="26"/>
      <c r="W77" s="26"/>
      <c r="X77" s="26"/>
      <c r="Y77" s="26"/>
      <c r="Z77" s="26"/>
    </row>
    <row r="78" spans="7:26"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39"/>
      <c r="S78" s="26"/>
      <c r="T78" s="26"/>
      <c r="U78" s="26"/>
      <c r="V78" s="26"/>
      <c r="W78" s="26"/>
      <c r="X78" s="26"/>
      <c r="Y78" s="26"/>
      <c r="Z78" s="26"/>
    </row>
    <row r="79" spans="7:26"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39"/>
      <c r="S79" s="26"/>
      <c r="T79" s="26"/>
      <c r="U79" s="26"/>
      <c r="V79" s="26"/>
      <c r="W79" s="26"/>
      <c r="X79" s="26"/>
      <c r="Y79" s="26"/>
      <c r="Z79" s="26"/>
    </row>
    <row r="80" spans="7:26"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39"/>
      <c r="S80" s="26"/>
      <c r="T80" s="26"/>
      <c r="U80" s="26"/>
      <c r="V80" s="26"/>
      <c r="W80" s="26"/>
      <c r="X80" s="26"/>
      <c r="Y80" s="26"/>
      <c r="Z80" s="26"/>
    </row>
    <row r="81" spans="7:26"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39"/>
      <c r="S81" s="26"/>
      <c r="T81" s="26"/>
      <c r="U81" s="26"/>
      <c r="V81" s="26"/>
      <c r="W81" s="26"/>
      <c r="X81" s="26"/>
      <c r="Y81" s="26"/>
      <c r="Z81" s="26"/>
    </row>
    <row r="82" spans="7:26"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39"/>
      <c r="S82" s="26"/>
      <c r="T82" s="26"/>
      <c r="U82" s="26"/>
      <c r="V82" s="26"/>
      <c r="W82" s="26"/>
      <c r="X82" s="26"/>
      <c r="Y82" s="26"/>
      <c r="Z82" s="26"/>
    </row>
    <row r="83" spans="7:26"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39"/>
      <c r="S83" s="26"/>
      <c r="T83" s="26"/>
      <c r="U83" s="26"/>
      <c r="V83" s="26"/>
      <c r="W83" s="26"/>
      <c r="X83" s="26"/>
      <c r="Y83" s="26"/>
      <c r="Z83" s="26"/>
    </row>
    <row r="84" spans="7:26"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39"/>
      <c r="S84" s="26"/>
      <c r="T84" s="26"/>
      <c r="U84" s="26"/>
      <c r="V84" s="26"/>
      <c r="W84" s="26"/>
      <c r="X84" s="26"/>
      <c r="Y84" s="26"/>
      <c r="Z84" s="26"/>
    </row>
    <row r="85" spans="7:26"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39"/>
      <c r="S85" s="26"/>
      <c r="T85" s="26"/>
      <c r="U85" s="26"/>
      <c r="V85" s="26"/>
      <c r="W85" s="26"/>
      <c r="X85" s="26"/>
      <c r="Y85" s="26"/>
      <c r="Z85" s="26"/>
    </row>
    <row r="86" spans="7:26"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39"/>
      <c r="S86" s="26"/>
      <c r="T86" s="26"/>
      <c r="U86" s="26"/>
      <c r="V86" s="26"/>
      <c r="W86" s="26"/>
      <c r="X86" s="26"/>
      <c r="Y86" s="26"/>
      <c r="Z86" s="26"/>
    </row>
    <row r="87" spans="7:26"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39"/>
      <c r="S87" s="26"/>
      <c r="T87" s="26"/>
      <c r="U87" s="26"/>
      <c r="V87" s="26"/>
      <c r="W87" s="26"/>
      <c r="X87" s="26"/>
      <c r="Y87" s="26"/>
      <c r="Z87" s="26"/>
    </row>
    <row r="88" spans="7:26"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39"/>
      <c r="S88" s="26"/>
      <c r="T88" s="26"/>
      <c r="U88" s="26"/>
      <c r="V88" s="26"/>
      <c r="W88" s="26"/>
      <c r="X88" s="26"/>
      <c r="Y88" s="26"/>
      <c r="Z88" s="26"/>
    </row>
    <row r="89" spans="7:26"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39"/>
      <c r="S89" s="26"/>
      <c r="T89" s="26"/>
      <c r="U89" s="26"/>
      <c r="V89" s="26"/>
      <c r="W89" s="26"/>
      <c r="X89" s="26"/>
      <c r="Y89" s="26"/>
      <c r="Z89" s="26"/>
    </row>
    <row r="90" spans="7:26"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39"/>
      <c r="S90" s="26"/>
      <c r="T90" s="26"/>
      <c r="U90" s="26"/>
      <c r="V90" s="26"/>
      <c r="W90" s="26"/>
      <c r="X90" s="26"/>
      <c r="Y90" s="26"/>
      <c r="Z90" s="26"/>
    </row>
    <row r="91" spans="7:26"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39"/>
      <c r="S91" s="26"/>
      <c r="T91" s="26"/>
      <c r="U91" s="26"/>
      <c r="V91" s="26"/>
      <c r="W91" s="26"/>
      <c r="X91" s="26"/>
      <c r="Y91" s="26"/>
      <c r="Z91" s="26"/>
    </row>
    <row r="92" spans="7:26"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39"/>
      <c r="S92" s="26"/>
      <c r="T92" s="26"/>
      <c r="U92" s="26"/>
      <c r="V92" s="26"/>
      <c r="W92" s="26"/>
      <c r="X92" s="26"/>
      <c r="Y92" s="26"/>
      <c r="Z92" s="26"/>
    </row>
    <row r="93" spans="7:26"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39"/>
      <c r="S93" s="26"/>
      <c r="T93" s="26"/>
      <c r="U93" s="26"/>
      <c r="V93" s="26"/>
      <c r="W93" s="26"/>
      <c r="X93" s="26"/>
      <c r="Y93" s="26"/>
      <c r="Z93" s="26"/>
    </row>
    <row r="94" spans="7:26"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39"/>
      <c r="S94" s="26"/>
      <c r="T94" s="26"/>
      <c r="U94" s="26"/>
      <c r="V94" s="26"/>
      <c r="W94" s="26"/>
      <c r="X94" s="26"/>
      <c r="Y94" s="26"/>
      <c r="Z94" s="26"/>
    </row>
    <row r="95" spans="7:26"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39"/>
      <c r="S95" s="26"/>
      <c r="T95" s="26"/>
      <c r="U95" s="26"/>
      <c r="V95" s="26"/>
      <c r="W95" s="26"/>
      <c r="X95" s="26"/>
      <c r="Y95" s="26"/>
      <c r="Z95" s="26"/>
    </row>
    <row r="96" spans="7:26"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39"/>
      <c r="S96" s="26"/>
      <c r="T96" s="26"/>
      <c r="U96" s="26"/>
      <c r="V96" s="26"/>
      <c r="W96" s="26"/>
      <c r="X96" s="26"/>
      <c r="Y96" s="26"/>
      <c r="Z96" s="26"/>
    </row>
    <row r="97" spans="7:26"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39"/>
      <c r="S97" s="26"/>
      <c r="T97" s="26"/>
      <c r="U97" s="26"/>
      <c r="V97" s="26"/>
      <c r="W97" s="26"/>
      <c r="X97" s="26"/>
      <c r="Y97" s="26"/>
      <c r="Z97" s="26"/>
    </row>
    <row r="98" spans="7:26"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39"/>
      <c r="S98" s="26"/>
      <c r="T98" s="26"/>
      <c r="U98" s="26"/>
      <c r="V98" s="26"/>
      <c r="W98" s="26"/>
      <c r="X98" s="26"/>
      <c r="Y98" s="26"/>
      <c r="Z98" s="26"/>
    </row>
    <row r="99" spans="7:26"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39"/>
      <c r="S99" s="26"/>
      <c r="T99" s="26"/>
      <c r="U99" s="26"/>
      <c r="V99" s="26"/>
      <c r="W99" s="26"/>
      <c r="X99" s="26"/>
      <c r="Y99" s="26"/>
      <c r="Z99" s="26"/>
    </row>
    <row r="100" spans="7:26"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39"/>
      <c r="S100" s="26"/>
      <c r="T100" s="26"/>
      <c r="U100" s="26"/>
      <c r="V100" s="26"/>
      <c r="W100" s="26"/>
      <c r="X100" s="26"/>
      <c r="Y100" s="26"/>
      <c r="Z100" s="26"/>
    </row>
    <row r="101" spans="7:26"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39"/>
      <c r="S101" s="26"/>
      <c r="T101" s="26"/>
      <c r="U101" s="26"/>
      <c r="V101" s="26"/>
      <c r="W101" s="26"/>
      <c r="X101" s="26"/>
      <c r="Y101" s="26"/>
      <c r="Z101" s="26"/>
    </row>
    <row r="102" spans="7:26"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39"/>
      <c r="S102" s="26"/>
      <c r="T102" s="26"/>
      <c r="U102" s="26"/>
      <c r="V102" s="26"/>
      <c r="W102" s="26"/>
      <c r="X102" s="26"/>
      <c r="Y102" s="26"/>
      <c r="Z102" s="26"/>
    </row>
    <row r="103" spans="7:26"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39"/>
      <c r="S103" s="26"/>
      <c r="T103" s="26"/>
      <c r="U103" s="26"/>
      <c r="V103" s="26"/>
      <c r="W103" s="26"/>
      <c r="X103" s="26"/>
      <c r="Y103" s="26"/>
      <c r="Z103" s="26"/>
    </row>
    <row r="104" spans="7:26"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39"/>
      <c r="S104" s="26"/>
      <c r="T104" s="26"/>
      <c r="U104" s="26"/>
      <c r="V104" s="26"/>
      <c r="W104" s="26"/>
      <c r="X104" s="26"/>
      <c r="Y104" s="26"/>
      <c r="Z104" s="26"/>
    </row>
    <row r="105" spans="7:26"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39"/>
      <c r="S105" s="26"/>
      <c r="T105" s="26"/>
      <c r="U105" s="26"/>
      <c r="V105" s="26"/>
      <c r="W105" s="26"/>
      <c r="X105" s="26"/>
      <c r="Y105" s="26"/>
      <c r="Z105" s="26"/>
    </row>
    <row r="106" spans="7:26"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39"/>
      <c r="S106" s="26"/>
      <c r="T106" s="26"/>
      <c r="U106" s="26"/>
      <c r="V106" s="26"/>
      <c r="W106" s="26"/>
      <c r="X106" s="26"/>
      <c r="Y106" s="26"/>
      <c r="Z106" s="26"/>
    </row>
    <row r="107" spans="7:26"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39"/>
      <c r="S107" s="26"/>
      <c r="T107" s="26"/>
      <c r="U107" s="26"/>
      <c r="V107" s="26"/>
      <c r="W107" s="26"/>
      <c r="X107" s="26"/>
      <c r="Y107" s="26"/>
      <c r="Z107" s="26"/>
    </row>
    <row r="108" spans="7:26"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39"/>
      <c r="S108" s="26"/>
      <c r="T108" s="26"/>
      <c r="U108" s="26"/>
      <c r="V108" s="26"/>
      <c r="W108" s="26"/>
      <c r="X108" s="26"/>
      <c r="Y108" s="26"/>
      <c r="Z108" s="26"/>
    </row>
    <row r="109" spans="7:26"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39"/>
      <c r="S109" s="26"/>
      <c r="T109" s="26"/>
      <c r="U109" s="26"/>
      <c r="V109" s="26"/>
      <c r="W109" s="26"/>
      <c r="X109" s="26"/>
      <c r="Y109" s="26"/>
      <c r="Z109" s="26"/>
    </row>
    <row r="110" spans="7:26"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39"/>
      <c r="S110" s="26"/>
      <c r="T110" s="26"/>
      <c r="U110" s="26"/>
      <c r="V110" s="26"/>
      <c r="W110" s="26"/>
      <c r="X110" s="26"/>
      <c r="Y110" s="26"/>
      <c r="Z110" s="26"/>
    </row>
    <row r="111" spans="7:26"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39"/>
      <c r="S111" s="26"/>
      <c r="T111" s="26"/>
      <c r="U111" s="26"/>
      <c r="V111" s="26"/>
      <c r="W111" s="26"/>
      <c r="X111" s="26"/>
      <c r="Y111" s="26"/>
      <c r="Z111" s="26"/>
    </row>
    <row r="112" spans="7:26"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39"/>
      <c r="S112" s="26"/>
      <c r="T112" s="26"/>
      <c r="U112" s="26"/>
      <c r="V112" s="26"/>
      <c r="W112" s="26"/>
      <c r="X112" s="26"/>
      <c r="Y112" s="26"/>
      <c r="Z112" s="26"/>
    </row>
    <row r="113" spans="7:26"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39"/>
      <c r="S113" s="26"/>
      <c r="T113" s="26"/>
      <c r="U113" s="26"/>
      <c r="V113" s="26"/>
      <c r="W113" s="26"/>
      <c r="X113" s="26"/>
      <c r="Y113" s="26"/>
      <c r="Z113" s="26"/>
    </row>
    <row r="114" spans="7:26"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39"/>
      <c r="S114" s="26"/>
      <c r="T114" s="26"/>
      <c r="U114" s="26"/>
      <c r="V114" s="26"/>
      <c r="W114" s="26"/>
      <c r="X114" s="26"/>
      <c r="Y114" s="26"/>
      <c r="Z114" s="26"/>
    </row>
    <row r="115" spans="7:26"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39"/>
      <c r="S115" s="26"/>
      <c r="T115" s="26"/>
      <c r="U115" s="26"/>
      <c r="V115" s="26"/>
      <c r="W115" s="26"/>
      <c r="X115" s="26"/>
      <c r="Y115" s="26"/>
      <c r="Z115" s="26"/>
    </row>
    <row r="116" spans="7:26"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39"/>
      <c r="S116" s="26"/>
      <c r="T116" s="26"/>
      <c r="U116" s="26"/>
      <c r="V116" s="26"/>
      <c r="W116" s="26"/>
      <c r="X116" s="26"/>
      <c r="Y116" s="26"/>
      <c r="Z116" s="26"/>
    </row>
    <row r="117" spans="7:26"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39"/>
      <c r="S117" s="26"/>
      <c r="T117" s="26"/>
      <c r="U117" s="26"/>
      <c r="V117" s="26"/>
      <c r="W117" s="26"/>
      <c r="X117" s="26"/>
      <c r="Y117" s="26"/>
      <c r="Z117" s="26"/>
    </row>
    <row r="118" spans="7:26"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39"/>
      <c r="S118" s="26"/>
      <c r="T118" s="26"/>
      <c r="U118" s="26"/>
      <c r="V118" s="26"/>
      <c r="W118" s="26"/>
      <c r="X118" s="26"/>
      <c r="Y118" s="26"/>
      <c r="Z118" s="26"/>
    </row>
    <row r="119" spans="7:26"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39"/>
      <c r="S119" s="26"/>
      <c r="T119" s="26"/>
      <c r="U119" s="26"/>
      <c r="V119" s="26"/>
      <c r="W119" s="26"/>
      <c r="X119" s="26"/>
      <c r="Y119" s="26"/>
      <c r="Z119" s="26"/>
    </row>
    <row r="120" spans="7:26"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39"/>
      <c r="S120" s="26"/>
      <c r="T120" s="26"/>
      <c r="U120" s="26"/>
      <c r="V120" s="26"/>
      <c r="W120" s="26"/>
      <c r="X120" s="26"/>
      <c r="Y120" s="26"/>
      <c r="Z120" s="26"/>
    </row>
    <row r="121" spans="7:26"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39"/>
      <c r="S121" s="26"/>
      <c r="T121" s="26"/>
      <c r="U121" s="26"/>
      <c r="V121" s="26"/>
      <c r="W121" s="26"/>
      <c r="X121" s="26"/>
      <c r="Y121" s="26"/>
      <c r="Z121" s="26"/>
    </row>
    <row r="122" spans="7:26"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39"/>
      <c r="S122" s="26"/>
      <c r="T122" s="26"/>
      <c r="U122" s="26"/>
      <c r="V122" s="26"/>
      <c r="W122" s="26"/>
      <c r="X122" s="26"/>
      <c r="Y122" s="26"/>
      <c r="Z122" s="26"/>
    </row>
    <row r="123" spans="7:26"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39"/>
      <c r="S123" s="26"/>
      <c r="T123" s="26"/>
      <c r="U123" s="26"/>
      <c r="V123" s="26"/>
      <c r="W123" s="26"/>
      <c r="X123" s="26"/>
      <c r="Y123" s="26"/>
      <c r="Z123" s="26"/>
    </row>
    <row r="124" spans="7:26"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39"/>
      <c r="S124" s="26"/>
      <c r="T124" s="26"/>
      <c r="U124" s="26"/>
      <c r="V124" s="26"/>
      <c r="W124" s="26"/>
      <c r="X124" s="26"/>
      <c r="Y124" s="26"/>
      <c r="Z124" s="26"/>
    </row>
    <row r="125" spans="7:26"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39"/>
      <c r="S125" s="26"/>
      <c r="T125" s="26"/>
      <c r="U125" s="26"/>
      <c r="V125" s="26"/>
      <c r="W125" s="26"/>
      <c r="X125" s="26"/>
      <c r="Y125" s="26"/>
      <c r="Z125" s="26"/>
    </row>
    <row r="126" spans="7:26"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39"/>
      <c r="S126" s="26"/>
      <c r="T126" s="26"/>
      <c r="U126" s="26"/>
      <c r="V126" s="26"/>
      <c r="W126" s="26"/>
      <c r="X126" s="26"/>
      <c r="Y126" s="26"/>
      <c r="Z126" s="26"/>
    </row>
    <row r="127" spans="7:26"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39"/>
      <c r="S127" s="26"/>
      <c r="T127" s="26"/>
      <c r="U127" s="26"/>
      <c r="V127" s="26"/>
      <c r="W127" s="26"/>
      <c r="X127" s="26"/>
      <c r="Y127" s="26"/>
      <c r="Z127" s="26"/>
    </row>
    <row r="128" spans="7:26"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39"/>
      <c r="S128" s="26"/>
      <c r="T128" s="26"/>
      <c r="U128" s="26"/>
      <c r="V128" s="26"/>
      <c r="W128" s="26"/>
      <c r="X128" s="26"/>
      <c r="Y128" s="26"/>
      <c r="Z128" s="26"/>
    </row>
    <row r="129" spans="7:26"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39"/>
      <c r="S129" s="26"/>
      <c r="T129" s="26"/>
      <c r="U129" s="26"/>
      <c r="V129" s="26"/>
      <c r="W129" s="26"/>
      <c r="X129" s="26"/>
      <c r="Y129" s="26"/>
      <c r="Z129" s="26"/>
    </row>
    <row r="130" spans="7:26"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39"/>
      <c r="S130" s="26"/>
      <c r="T130" s="26"/>
      <c r="U130" s="26"/>
      <c r="V130" s="26"/>
      <c r="W130" s="26"/>
      <c r="X130" s="26"/>
      <c r="Y130" s="26"/>
      <c r="Z130" s="26"/>
    </row>
    <row r="131" spans="7:26"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39"/>
      <c r="S131" s="26"/>
      <c r="T131" s="26"/>
      <c r="U131" s="26"/>
      <c r="V131" s="26"/>
      <c r="W131" s="26"/>
      <c r="X131" s="26"/>
      <c r="Y131" s="26"/>
      <c r="Z131" s="26"/>
    </row>
    <row r="132" spans="7:26"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39"/>
      <c r="S132" s="26"/>
      <c r="T132" s="26"/>
      <c r="U132" s="26"/>
      <c r="V132" s="26"/>
      <c r="W132" s="26"/>
      <c r="X132" s="26"/>
      <c r="Y132" s="26"/>
      <c r="Z132" s="26"/>
    </row>
    <row r="133" spans="7:26"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39"/>
      <c r="S133" s="26"/>
      <c r="T133" s="26"/>
      <c r="U133" s="26"/>
      <c r="V133" s="26"/>
      <c r="W133" s="26"/>
      <c r="X133" s="26"/>
      <c r="Y133" s="26"/>
      <c r="Z133" s="26"/>
    </row>
    <row r="134" spans="7:26"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39"/>
      <c r="S134" s="26"/>
      <c r="T134" s="26"/>
      <c r="U134" s="26"/>
      <c r="V134" s="26"/>
      <c r="W134" s="26"/>
      <c r="X134" s="26"/>
      <c r="Y134" s="26"/>
      <c r="Z134" s="26"/>
    </row>
    <row r="135" spans="7:26"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39"/>
      <c r="S135" s="26"/>
      <c r="T135" s="26"/>
      <c r="U135" s="26"/>
      <c r="V135" s="26"/>
      <c r="W135" s="26"/>
      <c r="X135" s="26"/>
      <c r="Y135" s="26"/>
      <c r="Z135" s="26"/>
    </row>
    <row r="136" spans="7:26"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39"/>
      <c r="S136" s="26"/>
      <c r="T136" s="26"/>
      <c r="U136" s="26"/>
      <c r="V136" s="26"/>
      <c r="W136" s="26"/>
      <c r="X136" s="26"/>
      <c r="Y136" s="26"/>
      <c r="Z136" s="26"/>
    </row>
    <row r="137" spans="7:26"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39"/>
      <c r="S137" s="26"/>
      <c r="T137" s="26"/>
      <c r="U137" s="26"/>
      <c r="V137" s="26"/>
      <c r="W137" s="26"/>
      <c r="X137" s="26"/>
      <c r="Y137" s="26"/>
      <c r="Z137" s="26"/>
    </row>
    <row r="138" spans="7:26"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39"/>
      <c r="S138" s="26"/>
      <c r="T138" s="26"/>
      <c r="U138" s="26"/>
      <c r="V138" s="26"/>
      <c r="W138" s="26"/>
      <c r="X138" s="26"/>
      <c r="Y138" s="26"/>
      <c r="Z138" s="26"/>
    </row>
    <row r="139" spans="7:26"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39"/>
      <c r="S139" s="26"/>
      <c r="T139" s="26"/>
      <c r="U139" s="26"/>
      <c r="V139" s="26"/>
      <c r="W139" s="26"/>
      <c r="X139" s="26"/>
      <c r="Y139" s="26"/>
      <c r="Z139" s="26"/>
    </row>
    <row r="140" spans="7:26"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39"/>
      <c r="S140" s="26"/>
      <c r="T140" s="26"/>
      <c r="U140" s="26"/>
      <c r="V140" s="26"/>
      <c r="W140" s="26"/>
      <c r="X140" s="26"/>
      <c r="Y140" s="26"/>
      <c r="Z140" s="26"/>
    </row>
    <row r="141" spans="7:26"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39"/>
      <c r="S141" s="26"/>
      <c r="T141" s="26"/>
      <c r="U141" s="26"/>
      <c r="V141" s="26"/>
      <c r="W141" s="26"/>
      <c r="X141" s="26"/>
      <c r="Y141" s="26"/>
      <c r="Z141" s="26"/>
    </row>
    <row r="142" spans="7:26"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39"/>
      <c r="S142" s="26"/>
      <c r="T142" s="26"/>
      <c r="U142" s="26"/>
      <c r="V142" s="26"/>
      <c r="W142" s="26"/>
      <c r="X142" s="26"/>
      <c r="Y142" s="26"/>
      <c r="Z142" s="26"/>
    </row>
    <row r="143" spans="7:26"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39"/>
      <c r="S143" s="26"/>
      <c r="T143" s="26"/>
      <c r="U143" s="26"/>
      <c r="V143" s="26"/>
      <c r="W143" s="26"/>
      <c r="X143" s="26"/>
      <c r="Y143" s="26"/>
      <c r="Z143" s="26"/>
    </row>
    <row r="144" spans="7:26"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39"/>
      <c r="S144" s="26"/>
      <c r="T144" s="26"/>
      <c r="U144" s="26"/>
      <c r="V144" s="26"/>
      <c r="W144" s="26"/>
      <c r="X144" s="26"/>
      <c r="Y144" s="26"/>
      <c r="Z144" s="26"/>
    </row>
  </sheetData>
  <mergeCells count="1">
    <mergeCell ref="U1:Z1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D73A-18FF-F24A-AB24-4AA8E371E531}">
  <dimension ref="A3:N22"/>
  <sheetViews>
    <sheetView workbookViewId="0">
      <selection activeCell="K7" sqref="K7"/>
    </sheetView>
  </sheetViews>
  <sheetFormatPr baseColWidth="10" defaultRowHeight="16"/>
  <cols>
    <col min="1" max="1" width="20.83203125" style="59" bestFit="1" customWidth="1"/>
    <col min="2" max="2" width="15.5" style="59" bestFit="1" customWidth="1"/>
    <col min="3" max="3" width="5.83203125" style="59" bestFit="1" customWidth="1"/>
    <col min="4" max="4" width="7" style="59" bestFit="1" customWidth="1"/>
    <col min="5" max="6" width="10.83203125" style="59"/>
    <col min="7" max="7" width="6.33203125" style="59" bestFit="1" customWidth="1"/>
    <col min="8" max="8" width="25.1640625" style="59" bestFit="1" customWidth="1"/>
    <col min="9" max="9" width="27.5" style="59" bestFit="1" customWidth="1"/>
    <col min="10" max="10" width="20.6640625" style="59" bestFit="1" customWidth="1"/>
    <col min="11" max="11" width="19.5" style="59" bestFit="1" customWidth="1"/>
    <col min="12" max="12" width="29.1640625" style="59" bestFit="1" customWidth="1"/>
    <col min="13" max="14" width="12.1640625" style="59" bestFit="1" customWidth="1"/>
    <col min="15" max="16384" width="10.83203125" style="59"/>
  </cols>
  <sheetData>
    <row r="3" spans="1:14">
      <c r="A3" s="59" t="s">
        <v>71</v>
      </c>
      <c r="B3" s="59" t="s">
        <v>62</v>
      </c>
    </row>
    <row r="4" spans="1:14">
      <c r="A4" s="59" t="s">
        <v>60</v>
      </c>
      <c r="B4" s="59" t="s">
        <v>42</v>
      </c>
      <c r="C4" s="59" t="s">
        <v>43</v>
      </c>
      <c r="D4" s="59" t="s">
        <v>70</v>
      </c>
      <c r="E4" s="59" t="s">
        <v>61</v>
      </c>
      <c r="G4" s="61" t="s">
        <v>41</v>
      </c>
      <c r="H4" s="61" t="s">
        <v>63</v>
      </c>
      <c r="I4" s="61" t="s">
        <v>64</v>
      </c>
      <c r="J4" s="61" t="s">
        <v>65</v>
      </c>
      <c r="K4" s="61" t="s">
        <v>66</v>
      </c>
      <c r="L4" s="61" t="s">
        <v>67</v>
      </c>
      <c r="M4" s="61" t="s">
        <v>68</v>
      </c>
      <c r="N4" s="61" t="s">
        <v>69</v>
      </c>
    </row>
    <row r="5" spans="1:14">
      <c r="A5" s="60" t="s">
        <v>44</v>
      </c>
      <c r="B5" s="59">
        <v>61</v>
      </c>
      <c r="E5" s="59">
        <v>61</v>
      </c>
      <c r="G5" s="60" t="s">
        <v>44</v>
      </c>
      <c r="H5" s="59">
        <v>61</v>
      </c>
      <c r="I5" s="59">
        <v>0</v>
      </c>
      <c r="J5" s="59">
        <v>61</v>
      </c>
      <c r="K5" s="59">
        <f>(H5/J5)*100</f>
        <v>100</v>
      </c>
      <c r="L5" s="59">
        <f>AVERAGE(K5:K20)</f>
        <v>94.76524510724893</v>
      </c>
      <c r="M5" s="59">
        <f>STDEV(K5:K20)</f>
        <v>3.614596207634309</v>
      </c>
      <c r="N5" s="59">
        <f>M5/(SQRT(16))</f>
        <v>0.90364905190857725</v>
      </c>
    </row>
    <row r="6" spans="1:14">
      <c r="A6" s="60" t="s">
        <v>49</v>
      </c>
      <c r="B6" s="59">
        <v>137</v>
      </c>
      <c r="C6" s="59">
        <v>2</v>
      </c>
      <c r="E6" s="59">
        <v>139</v>
      </c>
      <c r="G6" s="60" t="s">
        <v>49</v>
      </c>
      <c r="H6" s="59">
        <v>137</v>
      </c>
      <c r="I6" s="59">
        <v>2</v>
      </c>
      <c r="J6" s="59">
        <v>139</v>
      </c>
      <c r="K6" s="59">
        <f>(H6/J6)*100</f>
        <v>98.561151079136692</v>
      </c>
    </row>
    <row r="7" spans="1:14">
      <c r="A7" s="60" t="s">
        <v>45</v>
      </c>
      <c r="B7" s="59">
        <v>277</v>
      </c>
      <c r="C7" s="59">
        <v>6</v>
      </c>
      <c r="E7" s="59">
        <v>283</v>
      </c>
      <c r="G7" s="60" t="s">
        <v>45</v>
      </c>
      <c r="H7" s="59">
        <v>277</v>
      </c>
      <c r="I7" s="59">
        <v>6</v>
      </c>
      <c r="J7" s="59">
        <v>283</v>
      </c>
      <c r="K7" s="59">
        <f t="shared" ref="K7:K20" si="0">(H7/J7)*100</f>
        <v>97.879858657243815</v>
      </c>
    </row>
    <row r="8" spans="1:14">
      <c r="A8" s="60" t="s">
        <v>50</v>
      </c>
      <c r="B8" s="59">
        <v>266</v>
      </c>
      <c r="C8" s="59">
        <v>8</v>
      </c>
      <c r="E8" s="59">
        <v>274</v>
      </c>
      <c r="G8" s="60" t="s">
        <v>50</v>
      </c>
      <c r="H8" s="59">
        <v>266</v>
      </c>
      <c r="I8" s="59">
        <v>8</v>
      </c>
      <c r="J8" s="59">
        <v>274</v>
      </c>
      <c r="K8" s="59">
        <f t="shared" si="0"/>
        <v>97.080291970802918</v>
      </c>
    </row>
    <row r="9" spans="1:14">
      <c r="A9" s="60" t="s">
        <v>52</v>
      </c>
      <c r="B9" s="59">
        <v>278</v>
      </c>
      <c r="C9" s="59">
        <v>8</v>
      </c>
      <c r="E9" s="59">
        <v>286</v>
      </c>
      <c r="G9" s="60" t="s">
        <v>52</v>
      </c>
      <c r="H9" s="59">
        <v>278</v>
      </c>
      <c r="I9" s="59">
        <v>8</v>
      </c>
      <c r="J9" s="59">
        <v>286</v>
      </c>
      <c r="K9" s="59">
        <f t="shared" si="0"/>
        <v>97.2027972027972</v>
      </c>
    </row>
    <row r="10" spans="1:14">
      <c r="A10" s="60" t="s">
        <v>46</v>
      </c>
      <c r="B10" s="59">
        <v>281</v>
      </c>
      <c r="C10" s="59">
        <v>9</v>
      </c>
      <c r="E10" s="59">
        <v>290</v>
      </c>
      <c r="G10" s="60" t="s">
        <v>46</v>
      </c>
      <c r="H10" s="59">
        <v>281</v>
      </c>
      <c r="I10" s="59">
        <v>9</v>
      </c>
      <c r="J10" s="59">
        <v>290</v>
      </c>
      <c r="K10" s="59">
        <f t="shared" si="0"/>
        <v>96.896551724137936</v>
      </c>
    </row>
    <row r="11" spans="1:14">
      <c r="A11" s="60" t="s">
        <v>53</v>
      </c>
      <c r="B11" s="59">
        <v>312</v>
      </c>
      <c r="C11" s="59">
        <v>16</v>
      </c>
      <c r="E11" s="59">
        <v>328</v>
      </c>
      <c r="G11" s="60" t="s">
        <v>53</v>
      </c>
      <c r="H11" s="59">
        <v>312</v>
      </c>
      <c r="I11" s="59">
        <v>16</v>
      </c>
      <c r="J11" s="59">
        <v>328</v>
      </c>
      <c r="K11" s="59">
        <f t="shared" si="0"/>
        <v>95.121951219512198</v>
      </c>
    </row>
    <row r="12" spans="1:14">
      <c r="A12" s="60" t="s">
        <v>47</v>
      </c>
      <c r="B12" s="59">
        <v>346</v>
      </c>
      <c r="C12" s="59">
        <v>11</v>
      </c>
      <c r="E12" s="59">
        <v>357</v>
      </c>
      <c r="G12" s="60" t="s">
        <v>47</v>
      </c>
      <c r="H12" s="59">
        <v>346</v>
      </c>
      <c r="I12" s="59">
        <v>11</v>
      </c>
      <c r="J12" s="59">
        <v>357</v>
      </c>
      <c r="K12" s="59">
        <f t="shared" si="0"/>
        <v>96.918767507002798</v>
      </c>
    </row>
    <row r="13" spans="1:14">
      <c r="A13" s="60" t="s">
        <v>48</v>
      </c>
      <c r="B13" s="59">
        <v>281</v>
      </c>
      <c r="C13" s="59">
        <v>17</v>
      </c>
      <c r="E13" s="59">
        <v>298</v>
      </c>
      <c r="G13" s="60" t="s">
        <v>48</v>
      </c>
      <c r="H13" s="59">
        <v>281</v>
      </c>
      <c r="I13" s="59">
        <v>17</v>
      </c>
      <c r="J13" s="59">
        <v>298</v>
      </c>
      <c r="K13" s="59">
        <f t="shared" si="0"/>
        <v>94.295302013422827</v>
      </c>
    </row>
    <row r="14" spans="1:14">
      <c r="A14" s="60" t="s">
        <v>51</v>
      </c>
      <c r="B14" s="59">
        <v>352</v>
      </c>
      <c r="C14" s="59">
        <v>23</v>
      </c>
      <c r="E14" s="59">
        <v>375</v>
      </c>
      <c r="G14" s="60" t="s">
        <v>51</v>
      </c>
      <c r="H14" s="59">
        <v>352</v>
      </c>
      <c r="I14" s="59">
        <v>23</v>
      </c>
      <c r="J14" s="59">
        <v>375</v>
      </c>
      <c r="K14" s="59">
        <f t="shared" si="0"/>
        <v>93.86666666666666</v>
      </c>
    </row>
    <row r="15" spans="1:14">
      <c r="A15" s="60" t="s">
        <v>58</v>
      </c>
      <c r="B15" s="59">
        <v>366</v>
      </c>
      <c r="C15" s="59">
        <v>10</v>
      </c>
      <c r="E15" s="59">
        <v>376</v>
      </c>
      <c r="G15" s="60" t="s">
        <v>58</v>
      </c>
      <c r="H15" s="59">
        <v>366</v>
      </c>
      <c r="I15" s="59">
        <v>10</v>
      </c>
      <c r="J15" s="59">
        <v>376</v>
      </c>
      <c r="K15" s="59">
        <f t="shared" si="0"/>
        <v>97.340425531914903</v>
      </c>
    </row>
    <row r="16" spans="1:14">
      <c r="A16" s="60" t="s">
        <v>56</v>
      </c>
      <c r="B16" s="59">
        <v>309</v>
      </c>
      <c r="C16" s="59">
        <v>31</v>
      </c>
      <c r="E16" s="59">
        <v>340</v>
      </c>
      <c r="G16" s="60" t="s">
        <v>56</v>
      </c>
      <c r="H16" s="59">
        <v>309</v>
      </c>
      <c r="I16" s="59">
        <v>31</v>
      </c>
      <c r="J16" s="59">
        <v>340</v>
      </c>
      <c r="K16" s="59">
        <f t="shared" si="0"/>
        <v>90.882352941176464</v>
      </c>
    </row>
    <row r="17" spans="1:11">
      <c r="A17" s="60" t="s">
        <v>57</v>
      </c>
      <c r="B17" s="59">
        <v>385</v>
      </c>
      <c r="C17" s="59">
        <v>34</v>
      </c>
      <c r="E17" s="59">
        <v>419</v>
      </c>
      <c r="G17" s="60" t="s">
        <v>57</v>
      </c>
      <c r="H17" s="59">
        <v>385</v>
      </c>
      <c r="I17" s="59">
        <v>34</v>
      </c>
      <c r="J17" s="59">
        <v>419</v>
      </c>
      <c r="K17" s="59">
        <f t="shared" si="0"/>
        <v>91.885441527446304</v>
      </c>
    </row>
    <row r="18" spans="1:11">
      <c r="A18" s="60" t="s">
        <v>54</v>
      </c>
      <c r="B18" s="59">
        <v>325</v>
      </c>
      <c r="C18" s="59">
        <v>32</v>
      </c>
      <c r="E18" s="59">
        <v>357</v>
      </c>
      <c r="G18" s="60" t="s">
        <v>54</v>
      </c>
      <c r="H18" s="59">
        <v>325</v>
      </c>
      <c r="I18" s="59">
        <v>32</v>
      </c>
      <c r="J18" s="59">
        <v>357</v>
      </c>
      <c r="K18" s="59">
        <f t="shared" si="0"/>
        <v>91.036414565826334</v>
      </c>
    </row>
    <row r="19" spans="1:11">
      <c r="A19" s="60" t="s">
        <v>55</v>
      </c>
      <c r="B19" s="59">
        <v>388</v>
      </c>
      <c r="C19" s="59">
        <v>43</v>
      </c>
      <c r="E19" s="59">
        <v>431</v>
      </c>
      <c r="G19" s="60" t="s">
        <v>55</v>
      </c>
      <c r="H19" s="59">
        <v>388</v>
      </c>
      <c r="I19" s="59">
        <v>43</v>
      </c>
      <c r="J19" s="59">
        <v>431</v>
      </c>
      <c r="K19" s="59">
        <f t="shared" si="0"/>
        <v>90.023201856148489</v>
      </c>
    </row>
    <row r="20" spans="1:11">
      <c r="A20" s="60" t="s">
        <v>59</v>
      </c>
      <c r="B20" s="59">
        <v>397</v>
      </c>
      <c r="C20" s="59">
        <v>58</v>
      </c>
      <c r="E20" s="59">
        <v>455</v>
      </c>
      <c r="G20" s="60" t="s">
        <v>59</v>
      </c>
      <c r="H20" s="59">
        <v>397</v>
      </c>
      <c r="I20" s="59">
        <v>58</v>
      </c>
      <c r="J20" s="59">
        <v>455</v>
      </c>
      <c r="K20" s="59">
        <f t="shared" si="0"/>
        <v>87.252747252747255</v>
      </c>
    </row>
    <row r="21" spans="1:11">
      <c r="A21" s="60" t="s">
        <v>70</v>
      </c>
    </row>
    <row r="22" spans="1:11">
      <c r="A22" s="60" t="s">
        <v>61</v>
      </c>
      <c r="B22" s="59">
        <v>4761</v>
      </c>
      <c r="C22" s="59">
        <v>308</v>
      </c>
      <c r="E22" s="59">
        <v>5069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ARCAGO_AHY_Lincoln</vt:lpstr>
      <vt:lpstr>ARCAGO_HY_Lincoln</vt:lpstr>
      <vt:lpstr>LocalGooseCorrectionFactor_NEW</vt:lpstr>
    </vt:vector>
  </TitlesOfParts>
  <Company>Environment Canada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Anonymous</dc:creator>
  <cp:lastModifiedBy>John Thompson Veon</cp:lastModifiedBy>
  <dcterms:created xsi:type="dcterms:W3CDTF">2017-10-25T19:54:03Z</dcterms:created>
  <dcterms:modified xsi:type="dcterms:W3CDTF">2025-12-23T00:32:47Z</dcterms:modified>
</cp:coreProperties>
</file>